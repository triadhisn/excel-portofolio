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 Adhi\OneDrive\Documents\Data Entry\Portofolio\"/>
    </mc:Choice>
  </mc:AlternateContent>
  <xr:revisionPtr revIDLastSave="0" documentId="8_{05D6196B-3309-4131-BA2A-F84739E7A8C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ales_Data" sheetId="1" r:id="rId1"/>
    <sheet name="Price_List" sheetId="2" r:id="rId2"/>
    <sheet name="Financial_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<sst xmlns="http://schemas.openxmlformats.org/spreadsheetml/2006/main" count="623" uniqueCount="65">
  <si>
    <t>Date</t>
  </si>
  <si>
    <t>Product</t>
  </si>
  <si>
    <t>Category</t>
  </si>
  <si>
    <t>Qty</t>
  </si>
  <si>
    <t>Unit Price</t>
  </si>
  <si>
    <t>Total</t>
  </si>
  <si>
    <t>2025-01-01</t>
  </si>
  <si>
    <t>Cooking Oil 1L</t>
  </si>
  <si>
    <t>Staples</t>
  </si>
  <si>
    <t>Rice 5kg</t>
  </si>
  <si>
    <t>Instant Noodles</t>
  </si>
  <si>
    <t>Food</t>
  </si>
  <si>
    <t>Soap</t>
  </si>
  <si>
    <t>Toiletries</t>
  </si>
  <si>
    <t>2025-01-02</t>
  </si>
  <si>
    <t>Eggs 1kg</t>
  </si>
  <si>
    <t>Sugar 1kg</t>
  </si>
  <si>
    <t>Milk UHT</t>
  </si>
  <si>
    <t>Beverage</t>
  </si>
  <si>
    <t>2025-01-03</t>
  </si>
  <si>
    <t>Shampoo</t>
  </si>
  <si>
    <t>2025-01-04</t>
  </si>
  <si>
    <t>2025-01-05</t>
  </si>
  <si>
    <t>Tea Bags</t>
  </si>
  <si>
    <t>2025-01-06</t>
  </si>
  <si>
    <t>2025-01-07</t>
  </si>
  <si>
    <t>Coffee Sachet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</si>
  <si>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</si>
  <si>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</si>
  <si>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</si>
  <si>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</si>
  <si>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</si>
  <si>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</si>
  <si>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</si>
  <si>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</si>
  <si>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</si>
  <si>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</si>
  <si>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</si>
  <si>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</si>
  <si>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</si>
  <si>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</si>
  <si>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</si>
  <si>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</si>
  <si>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</si>
  <si>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</si>
  <si>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</si>
  <si>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</si>
  <si>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</si>
  <si>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</si>
  <si>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</si>
  <si>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</si>
  <si>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</si>
  <si>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</si>
  <si>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</si>
  <si>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</si>
  <si>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</si>
  <si>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</si>
  <si>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</si>
  <si>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</si>
  <si>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</si>
  <si>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Description</t>
  </si>
  <si>
    <t>Amount</t>
  </si>
  <si>
    <t>Revenue</t>
  </si>
  <si>
    <t>Expenses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</si>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</sst>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opLeftCell="A115" workbookViewId="0">
      <selection activeCell="E2" sqref="E2"/>
    </sheetView>
  </sheetViews>
  <sheetFormatPr defaultRowHeight="14.4" x14ac:dyDescent="0.3"/>
  <cols>
    <col min="1" max="1" width="10.33203125" bestFit="1" customWidth="1"/>
    <col min="2" max="2" width="14" bestFit="1" customWidth="1"/>
    <col min="3" max="3" width="8.5546875" bestFit="1" customWidth="1"/>
    <col min="4" max="4" width="3.88671875" bestFit="1" customWidth="1"/>
    <col min="6" max="6" width="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</v>
      </c>
      <c r="E2">
        <f>VLOOKUP(B2,Price_List!A:B,2,FALSE)</f>
        <v>18000</v>
      </c>
      <c r="F2">
        <f>D2*E2</f>
        <v>72000</v>
      </c>
    </row>
    <row r="3" spans="1:6" x14ac:dyDescent="0.3">
      <c r="A3" t="s">
        <v>6</v>
      </c>
      <c r="B3" t="s">
        <v>9</v>
      </c>
      <c r="C3" t="s">
        <v>8</v>
      </c>
      <c r="D3">
        <v>9</v>
      </c>
      <c r="E3">
        <f>VLOOKUP(B3,Price_List!A:B,2,FALSE)</f>
        <v>75000</v>
      </c>
      <c r="F3">
        <f t="shared" ref="F3:F66" si="0">D3*E3</f>
        <v>675000</v>
      </c>
    </row>
    <row r="4" spans="1:6" x14ac:dyDescent="0.3">
      <c r="A4" t="s">
        <v>6</v>
      </c>
      <c r="B4" t="s">
        <v>10</v>
      </c>
      <c r="C4" t="s">
        <v>11</v>
      </c>
      <c r="D4">
        <v>3</v>
      </c>
      <c r="E4">
        <f>VLOOKUP(B4,Price_List!A:B,2,FALSE)</f>
        <v>3500</v>
      </c>
      <c r="F4">
        <f t="shared" si="0"/>
        <v>10500</v>
      </c>
    </row>
    <row r="5" spans="1:6" x14ac:dyDescent="0.3">
      <c r="A5" t="s">
        <v>6</v>
      </c>
      <c r="B5" t="s">
        <v>12</v>
      </c>
      <c r="C5" t="s">
        <v>13</v>
      </c>
      <c r="D5">
        <v>2</v>
      </c>
      <c r="E5">
        <f>VLOOKUP(B5,Price_List!A:B,2,FALSE)</f>
        <v>5000</v>
      </c>
      <c r="F5">
        <f t="shared" si="0"/>
        <v>10000</v>
      </c>
    </row>
    <row r="6" spans="1:6" x14ac:dyDescent="0.3">
      <c r="A6" t="s">
        <v>6</v>
      </c>
      <c r="B6" t="s">
        <v>10</v>
      </c>
      <c r="C6" t="s">
        <v>11</v>
      </c>
      <c r="D6">
        <v>3</v>
      </c>
      <c r="E6">
        <f>VLOOKUP(B6,Price_List!A:B,2,FALSE)</f>
        <v>3500</v>
      </c>
      <c r="F6">
        <f t="shared" si="0"/>
        <v>10500</v>
      </c>
    </row>
    <row r="7" spans="1:6" x14ac:dyDescent="0.3">
      <c r="A7" t="s">
        <v>14</v>
      </c>
      <c r="B7" t="s">
        <v>9</v>
      </c>
      <c r="C7" t="s">
        <v>8</v>
      </c>
      <c r="D7">
        <v>4</v>
      </c>
      <c r="E7">
        <f>VLOOKUP(B7,Price_List!A:B,2,FALSE)</f>
        <v>75000</v>
      </c>
      <c r="F7">
        <f t="shared" si="0"/>
        <v>300000</v>
      </c>
    </row>
    <row r="8" spans="1:6" x14ac:dyDescent="0.3">
      <c r="A8" t="s">
        <v>14</v>
      </c>
      <c r="B8" t="s">
        <v>15</v>
      </c>
      <c r="C8" t="s">
        <v>8</v>
      </c>
      <c r="D8">
        <v>9</v>
      </c>
      <c r="E8">
        <f>VLOOKUP(B8,Price_List!A:B,2,FALSE)</f>
        <v>30000</v>
      </c>
      <c r="F8">
        <f t="shared" si="0"/>
        <v>270000</v>
      </c>
    </row>
    <row r="9" spans="1:6" x14ac:dyDescent="0.3">
      <c r="A9" t="s">
        <v>14</v>
      </c>
      <c r="B9" t="s">
        <v>16</v>
      </c>
      <c r="C9" t="s">
        <v>8</v>
      </c>
      <c r="D9">
        <v>5</v>
      </c>
      <c r="E9">
        <f>VLOOKUP(B9,Price_List!A:B,2,FALSE)</f>
        <v>14000</v>
      </c>
      <c r="F9">
        <f t="shared" si="0"/>
        <v>70000</v>
      </c>
    </row>
    <row r="10" spans="1:6" x14ac:dyDescent="0.3">
      <c r="A10" t="s">
        <v>14</v>
      </c>
      <c r="B10" t="s">
        <v>17</v>
      </c>
      <c r="C10" t="s">
        <v>18</v>
      </c>
      <c r="D10">
        <v>8</v>
      </c>
      <c r="E10">
        <f>VLOOKUP(B10,Price_List!A:B,2,FALSE)</f>
        <v>7000</v>
      </c>
      <c r="F10">
        <f t="shared" si="0"/>
        <v>56000</v>
      </c>
    </row>
    <row r="11" spans="1:6" x14ac:dyDescent="0.3">
      <c r="A11" t="s">
        <v>14</v>
      </c>
      <c r="B11" t="s">
        <v>7</v>
      </c>
      <c r="C11" t="s">
        <v>8</v>
      </c>
      <c r="D11">
        <v>10</v>
      </c>
      <c r="E11">
        <f>VLOOKUP(B11,Price_List!A:B,2,FALSE)</f>
        <v>18000</v>
      </c>
      <c r="F11">
        <f t="shared" si="0"/>
        <v>180000</v>
      </c>
    </row>
    <row r="12" spans="1:6" x14ac:dyDescent="0.3">
      <c r="A12" t="s">
        <v>19</v>
      </c>
      <c r="B12" t="s">
        <v>7</v>
      </c>
      <c r="C12" t="s">
        <v>8</v>
      </c>
      <c r="D12">
        <v>4</v>
      </c>
      <c r="E12">
        <f>VLOOKUP(B12,Price_List!A:B,2,FALSE)</f>
        <v>18000</v>
      </c>
      <c r="F12">
        <f t="shared" si="0"/>
        <v>72000</v>
      </c>
    </row>
    <row r="13" spans="1:6" x14ac:dyDescent="0.3">
      <c r="A13" t="s">
        <v>19</v>
      </c>
      <c r="B13" t="s">
        <v>9</v>
      </c>
      <c r="C13" t="s">
        <v>8</v>
      </c>
      <c r="D13">
        <v>3</v>
      </c>
      <c r="E13">
        <f>VLOOKUP(B13,Price_List!A:B,2,FALSE)</f>
        <v>75000</v>
      </c>
      <c r="F13">
        <f t="shared" si="0"/>
        <v>225000</v>
      </c>
    </row>
    <row r="14" spans="1:6" x14ac:dyDescent="0.3">
      <c r="A14" t="s">
        <v>19</v>
      </c>
      <c r="B14" t="s">
        <v>17</v>
      </c>
      <c r="C14" t="s">
        <v>18</v>
      </c>
      <c r="D14">
        <v>10</v>
      </c>
      <c r="E14">
        <f>VLOOKUP(B14,Price_List!A:B,2,FALSE)</f>
        <v>7000</v>
      </c>
      <c r="F14">
        <f t="shared" si="0"/>
        <v>70000</v>
      </c>
    </row>
    <row r="15" spans="1:6" x14ac:dyDescent="0.3">
      <c r="A15" t="s">
        <v>19</v>
      </c>
      <c r="B15" t="s">
        <v>9</v>
      </c>
      <c r="C15" t="s">
        <v>8</v>
      </c>
      <c r="D15">
        <v>8</v>
      </c>
      <c r="E15">
        <f>VLOOKUP(B15,Price_List!A:B,2,FALSE)</f>
        <v>75000</v>
      </c>
      <c r="F15">
        <f t="shared" si="0"/>
        <v>600000</v>
      </c>
    </row>
    <row r="16" spans="1:6" x14ac:dyDescent="0.3">
      <c r="A16" t="s">
        <v>19</v>
      </c>
      <c r="B16" t="s">
        <v>20</v>
      </c>
      <c r="C16" t="s">
        <v>13</v>
      </c>
      <c r="D16">
        <v>7</v>
      </c>
      <c r="E16">
        <f>VLOOKUP(B16,Price_List!A:B,2,FALSE)</f>
        <v>25000</v>
      </c>
      <c r="F16">
        <f t="shared" si="0"/>
        <v>175000</v>
      </c>
    </row>
    <row r="17" spans="1:6" x14ac:dyDescent="0.3">
      <c r="A17" t="s">
        <v>21</v>
      </c>
      <c r="B17" t="s">
        <v>17</v>
      </c>
      <c r="C17" t="s">
        <v>18</v>
      </c>
      <c r="D17">
        <v>4</v>
      </c>
      <c r="E17">
        <f>VLOOKUP(B17,Price_List!A:B,2,FALSE)</f>
        <v>7000</v>
      </c>
      <c r="F17">
        <f t="shared" si="0"/>
        <v>28000</v>
      </c>
    </row>
    <row r="18" spans="1:6" x14ac:dyDescent="0.3">
      <c r="A18" t="s">
        <v>21</v>
      </c>
      <c r="B18" t="s">
        <v>10</v>
      </c>
      <c r="C18" t="s">
        <v>11</v>
      </c>
      <c r="D18">
        <v>7</v>
      </c>
      <c r="E18">
        <f>VLOOKUP(B18,Price_List!A:B,2,FALSE)</f>
        <v>3500</v>
      </c>
      <c r="F18">
        <f t="shared" si="0"/>
        <v>24500</v>
      </c>
    </row>
    <row r="19" spans="1:6" x14ac:dyDescent="0.3">
      <c r="A19" t="s">
        <v>21</v>
      </c>
      <c r="B19" t="s">
        <v>17</v>
      </c>
      <c r="C19" t="s">
        <v>18</v>
      </c>
      <c r="D19">
        <v>10</v>
      </c>
      <c r="E19">
        <f>VLOOKUP(B19,Price_List!A:B,2,FALSE)</f>
        <v>7000</v>
      </c>
      <c r="F19">
        <f t="shared" si="0"/>
        <v>70000</v>
      </c>
    </row>
    <row r="20" spans="1:6" x14ac:dyDescent="0.3">
      <c r="A20" t="s">
        <v>21</v>
      </c>
      <c r="B20" t="s">
        <v>12</v>
      </c>
      <c r="C20" t="s">
        <v>13</v>
      </c>
      <c r="D20">
        <v>1</v>
      </c>
      <c r="E20">
        <f>VLOOKUP(B20,Price_List!A:B,2,FALSE)</f>
        <v>5000</v>
      </c>
      <c r="F20">
        <f t="shared" si="0"/>
        <v>5000</v>
      </c>
    </row>
    <row r="21" spans="1:6" x14ac:dyDescent="0.3">
      <c r="A21" t="s">
        <v>21</v>
      </c>
      <c r="B21" t="s">
        <v>12</v>
      </c>
      <c r="C21" t="s">
        <v>13</v>
      </c>
      <c r="D21">
        <v>8</v>
      </c>
      <c r="E21">
        <f>VLOOKUP(B21,Price_List!A:B,2,FALSE)</f>
        <v>5000</v>
      </c>
      <c r="F21">
        <f t="shared" si="0"/>
        <v>40000</v>
      </c>
    </row>
    <row r="22" spans="1:6" x14ac:dyDescent="0.3">
      <c r="A22" t="s">
        <v>22</v>
      </c>
      <c r="B22" t="s">
        <v>7</v>
      </c>
      <c r="C22" t="s">
        <v>8</v>
      </c>
      <c r="D22">
        <v>4</v>
      </c>
      <c r="E22">
        <f>VLOOKUP(B22,Price_List!A:B,2,FALSE)</f>
        <v>18000</v>
      </c>
      <c r="F22">
        <f t="shared" si="0"/>
        <v>72000</v>
      </c>
    </row>
    <row r="23" spans="1:6" x14ac:dyDescent="0.3">
      <c r="A23" t="s">
        <v>22</v>
      </c>
      <c r="B23" t="s">
        <v>23</v>
      </c>
      <c r="C23" t="s">
        <v>18</v>
      </c>
      <c r="D23">
        <v>4</v>
      </c>
      <c r="E23">
        <f>VLOOKUP(B23,Price_List!A:B,2,FALSE)</f>
        <v>5000</v>
      </c>
      <c r="F23">
        <f t="shared" si="0"/>
        <v>20000</v>
      </c>
    </row>
    <row r="24" spans="1:6" x14ac:dyDescent="0.3">
      <c r="A24" t="s">
        <v>22</v>
      </c>
      <c r="B24" t="s">
        <v>15</v>
      </c>
      <c r="C24" t="s">
        <v>8</v>
      </c>
      <c r="D24">
        <v>10</v>
      </c>
      <c r="E24">
        <f>VLOOKUP(B24,Price_List!A:B,2,FALSE)</f>
        <v>30000</v>
      </c>
      <c r="F24">
        <f t="shared" si="0"/>
        <v>300000</v>
      </c>
    </row>
    <row r="25" spans="1:6" x14ac:dyDescent="0.3">
      <c r="A25" t="s">
        <v>22</v>
      </c>
      <c r="B25" t="s">
        <v>15</v>
      </c>
      <c r="C25" t="s">
        <v>8</v>
      </c>
      <c r="D25">
        <v>2</v>
      </c>
      <c r="E25">
        <f>VLOOKUP(B25,Price_List!A:B,2,FALSE)</f>
        <v>30000</v>
      </c>
      <c r="F25">
        <f t="shared" si="0"/>
        <v>60000</v>
      </c>
    </row>
    <row r="26" spans="1:6" x14ac:dyDescent="0.3">
      <c r="A26" t="s">
        <v>22</v>
      </c>
      <c r="B26" t="s">
        <v>10</v>
      </c>
      <c r="C26" t="s">
        <v>11</v>
      </c>
      <c r="D26">
        <v>8</v>
      </c>
      <c r="E26">
        <f>VLOOKUP(B26,Price_List!A:B,2,FALSE)</f>
        <v>3500</v>
      </c>
      <c r="F26">
        <f t="shared" si="0"/>
        <v>28000</v>
      </c>
    </row>
    <row r="27" spans="1:6" x14ac:dyDescent="0.3">
      <c r="A27" t="s">
        <v>24</v>
      </c>
      <c r="B27" t="s">
        <v>9</v>
      </c>
      <c r="C27" t="s">
        <v>8</v>
      </c>
      <c r="D27">
        <v>8</v>
      </c>
      <c r="E27">
        <f>VLOOKUP(B27,Price_List!A:B,2,FALSE)</f>
        <v>75000</v>
      </c>
      <c r="F27">
        <f t="shared" si="0"/>
        <v>600000</v>
      </c>
    </row>
    <row r="28" spans="1:6" x14ac:dyDescent="0.3">
      <c r="A28" t="s">
        <v>24</v>
      </c>
      <c r="B28" t="s">
        <v>23</v>
      </c>
      <c r="C28" t="s">
        <v>18</v>
      </c>
      <c r="D28">
        <v>6</v>
      </c>
      <c r="E28">
        <f>VLOOKUP(B28,Price_List!A:B,2,FALSE)</f>
        <v>5000</v>
      </c>
      <c r="F28">
        <f t="shared" si="0"/>
        <v>30000</v>
      </c>
    </row>
    <row r="29" spans="1:6" x14ac:dyDescent="0.3">
      <c r="A29" t="s">
        <v>24</v>
      </c>
      <c r="B29" t="s">
        <v>16</v>
      </c>
      <c r="C29" t="s">
        <v>8</v>
      </c>
      <c r="D29">
        <v>2</v>
      </c>
      <c r="E29">
        <f>VLOOKUP(B29,Price_List!A:B,2,FALSE)</f>
        <v>14000</v>
      </c>
      <c r="F29">
        <f t="shared" si="0"/>
        <v>28000</v>
      </c>
    </row>
    <row r="30" spans="1:6" x14ac:dyDescent="0.3">
      <c r="A30" t="s">
        <v>24</v>
      </c>
      <c r="B30" t="s">
        <v>15</v>
      </c>
      <c r="C30" t="s">
        <v>8</v>
      </c>
      <c r="D30">
        <v>2</v>
      </c>
      <c r="E30">
        <f>VLOOKUP(B30,Price_List!A:B,2,FALSE)</f>
        <v>30000</v>
      </c>
      <c r="F30">
        <f t="shared" si="0"/>
        <v>60000</v>
      </c>
    </row>
    <row r="31" spans="1:6" x14ac:dyDescent="0.3">
      <c r="A31" t="s">
        <v>24</v>
      </c>
      <c r="B31" t="s">
        <v>12</v>
      </c>
      <c r="C31" t="s">
        <v>13</v>
      </c>
      <c r="D31">
        <v>6</v>
      </c>
      <c r="E31">
        <f>VLOOKUP(B31,Price_List!A:B,2,FALSE)</f>
        <v>5000</v>
      </c>
      <c r="F31">
        <f t="shared" si="0"/>
        <v>30000</v>
      </c>
    </row>
    <row r="32" spans="1:6" x14ac:dyDescent="0.3">
      <c r="A32" t="s">
        <v>25</v>
      </c>
      <c r="B32" t="s">
        <v>17</v>
      </c>
      <c r="C32" t="s">
        <v>18</v>
      </c>
      <c r="D32">
        <v>9</v>
      </c>
      <c r="E32">
        <f>VLOOKUP(B32,Price_List!A:B,2,FALSE)</f>
        <v>7000</v>
      </c>
      <c r="F32">
        <f t="shared" si="0"/>
        <v>63000</v>
      </c>
    </row>
    <row r="33" spans="1:6" x14ac:dyDescent="0.3">
      <c r="A33" t="s">
        <v>25</v>
      </c>
      <c r="B33" t="s">
        <v>26</v>
      </c>
      <c r="C33" t="s">
        <v>18</v>
      </c>
      <c r="D33">
        <v>3</v>
      </c>
      <c r="E33">
        <f>VLOOKUP(B33,Price_List!A:B,2,FALSE)</f>
        <v>2000</v>
      </c>
      <c r="F33">
        <f t="shared" si="0"/>
        <v>6000</v>
      </c>
    </row>
    <row r="34" spans="1:6" x14ac:dyDescent="0.3">
      <c r="A34" t="s">
        <v>25</v>
      </c>
      <c r="B34" t="s">
        <v>16</v>
      </c>
      <c r="C34" t="s">
        <v>8</v>
      </c>
      <c r="D34">
        <v>2</v>
      </c>
      <c r="E34">
        <f>VLOOKUP(B34,Price_List!A:B,2,FALSE)</f>
        <v>14000</v>
      </c>
      <c r="F34">
        <f t="shared" si="0"/>
        <v>28000</v>
      </c>
    </row>
    <row r="35" spans="1:6" x14ac:dyDescent="0.3">
      <c r="A35" t="s">
        <v>25</v>
      </c>
      <c r="B35" t="s">
        <v>23</v>
      </c>
      <c r="C35" t="s">
        <v>18</v>
      </c>
      <c r="D35">
        <v>5</v>
      </c>
      <c r="E35">
        <f>VLOOKUP(B35,Price_List!A:B,2,FALSE)</f>
        <v>5000</v>
      </c>
      <c r="F35">
        <f t="shared" si="0"/>
        <v>25000</v>
      </c>
    </row>
    <row r="36" spans="1:6" x14ac:dyDescent="0.3">
      <c r="A36" t="s">
        <v>25</v>
      </c>
      <c r="B36" t="s">
        <v>20</v>
      </c>
      <c r="C36" t="s">
        <v>13</v>
      </c>
      <c r="D36">
        <v>10</v>
      </c>
      <c r="E36">
        <f>VLOOKUP(B36,Price_List!A:B,2,FALSE)</f>
        <v>25000</v>
      </c>
      <c r="F36">
        <f t="shared" si="0"/>
        <v>250000</v>
      </c>
    </row>
    <row r="37" spans="1:6" x14ac:dyDescent="0.3">
      <c r="A37" t="s">
        <v>27</v>
      </c>
      <c r="B37" t="s">
        <v>17</v>
      </c>
      <c r="C37" t="s">
        <v>18</v>
      </c>
      <c r="D37">
        <v>6</v>
      </c>
      <c r="E37">
        <f>VLOOKUP(B37,Price_List!A:B,2,FALSE)</f>
        <v>7000</v>
      </c>
      <c r="F37">
        <f t="shared" si="0"/>
        <v>42000</v>
      </c>
    </row>
    <row r="38" spans="1:6" x14ac:dyDescent="0.3">
      <c r="A38" t="s">
        <v>27</v>
      </c>
      <c r="B38" t="s">
        <v>15</v>
      </c>
      <c r="C38" t="s">
        <v>8</v>
      </c>
      <c r="D38">
        <v>1</v>
      </c>
      <c r="E38">
        <f>VLOOKUP(B38,Price_List!A:B,2,FALSE)</f>
        <v>30000</v>
      </c>
      <c r="F38">
        <f t="shared" si="0"/>
        <v>30000</v>
      </c>
    </row>
    <row r="39" spans="1:6" x14ac:dyDescent="0.3">
      <c r="A39" t="s">
        <v>27</v>
      </c>
      <c r="B39" t="s">
        <v>9</v>
      </c>
      <c r="C39" t="s">
        <v>8</v>
      </c>
      <c r="D39">
        <v>8</v>
      </c>
      <c r="E39">
        <f>VLOOKUP(B39,Price_List!A:B,2,FALSE)</f>
        <v>75000</v>
      </c>
      <c r="F39">
        <f t="shared" si="0"/>
        <v>600000</v>
      </c>
    </row>
    <row r="40" spans="1:6" x14ac:dyDescent="0.3">
      <c r="A40" t="s">
        <v>27</v>
      </c>
      <c r="B40" t="s">
        <v>17</v>
      </c>
      <c r="C40" t="s">
        <v>18</v>
      </c>
      <c r="D40">
        <v>3</v>
      </c>
      <c r="E40">
        <f>VLOOKUP(B40,Price_List!A:B,2,FALSE)</f>
        <v>7000</v>
      </c>
      <c r="F40">
        <f t="shared" si="0"/>
        <v>21000</v>
      </c>
    </row>
    <row r="41" spans="1:6" x14ac:dyDescent="0.3">
      <c r="A41" t="s">
        <v>27</v>
      </c>
      <c r="B41" t="s">
        <v>20</v>
      </c>
      <c r="C41" t="s">
        <v>13</v>
      </c>
      <c r="D41">
        <v>8</v>
      </c>
      <c r="E41">
        <f>VLOOKUP(B41,Price_List!A:B,2,FALSE)</f>
        <v>25000</v>
      </c>
      <c r="F41">
        <f t="shared" si="0"/>
        <v>200000</v>
      </c>
    </row>
    <row r="42" spans="1:6" x14ac:dyDescent="0.3">
      <c r="A42" t="s">
        <v>28</v>
      </c>
      <c r="B42" t="s">
        <v>10</v>
      </c>
      <c r="C42" t="s">
        <v>11</v>
      </c>
      <c r="D42">
        <v>6</v>
      </c>
      <c r="E42">
        <f>VLOOKUP(B42,Price_List!A:B,2,FALSE)</f>
        <v>3500</v>
      </c>
      <c r="F42">
        <f t="shared" si="0"/>
        <v>21000</v>
      </c>
    </row>
    <row r="43" spans="1:6" x14ac:dyDescent="0.3">
      <c r="A43" t="s">
        <v>28</v>
      </c>
      <c r="B43" t="s">
        <v>10</v>
      </c>
      <c r="C43" t="s">
        <v>11</v>
      </c>
      <c r="D43">
        <v>7</v>
      </c>
      <c r="E43">
        <f>VLOOKUP(B43,Price_List!A:B,2,FALSE)</f>
        <v>3500</v>
      </c>
      <c r="F43">
        <f t="shared" si="0"/>
        <v>24500</v>
      </c>
    </row>
    <row r="44" spans="1:6" x14ac:dyDescent="0.3">
      <c r="A44" t="s">
        <v>28</v>
      </c>
      <c r="B44" t="s">
        <v>26</v>
      </c>
      <c r="C44" t="s">
        <v>18</v>
      </c>
      <c r="D44">
        <v>9</v>
      </c>
      <c r="E44">
        <f>VLOOKUP(B44,Price_List!A:B,2,FALSE)</f>
        <v>2000</v>
      </c>
      <c r="F44">
        <f t="shared" si="0"/>
        <v>18000</v>
      </c>
    </row>
    <row r="45" spans="1:6" x14ac:dyDescent="0.3">
      <c r="A45" t="s">
        <v>28</v>
      </c>
      <c r="B45" t="s">
        <v>23</v>
      </c>
      <c r="C45" t="s">
        <v>18</v>
      </c>
      <c r="D45">
        <v>8</v>
      </c>
      <c r="E45">
        <f>VLOOKUP(B45,Price_List!A:B,2,FALSE)</f>
        <v>5000</v>
      </c>
      <c r="F45">
        <f t="shared" si="0"/>
        <v>40000</v>
      </c>
    </row>
    <row r="46" spans="1:6" x14ac:dyDescent="0.3">
      <c r="A46" t="s">
        <v>28</v>
      </c>
      <c r="B46" t="s">
        <v>10</v>
      </c>
      <c r="C46" t="s">
        <v>11</v>
      </c>
      <c r="D46">
        <v>8</v>
      </c>
      <c r="E46">
        <f>VLOOKUP(B46,Price_List!A:B,2,FALSE)</f>
        <v>3500</v>
      </c>
      <c r="F46">
        <f t="shared" si="0"/>
        <v>28000</v>
      </c>
    </row>
    <row r="47" spans="1:6" x14ac:dyDescent="0.3">
      <c r="A47" t="s">
        <v>29</v>
      </c>
      <c r="B47" t="s">
        <v>15</v>
      </c>
      <c r="C47" t="s">
        <v>8</v>
      </c>
      <c r="D47">
        <v>8</v>
      </c>
      <c r="E47">
        <f>VLOOKUP(B47,Price_List!A:B,2,FALSE)</f>
        <v>30000</v>
      </c>
      <c r="F47">
        <f t="shared" si="0"/>
        <v>240000</v>
      </c>
    </row>
    <row r="48" spans="1:6" x14ac:dyDescent="0.3">
      <c r="A48" t="s">
        <v>29</v>
      </c>
      <c r="B48" t="s">
        <v>17</v>
      </c>
      <c r="C48" t="s">
        <v>18</v>
      </c>
      <c r="D48">
        <v>2</v>
      </c>
      <c r="E48">
        <f>VLOOKUP(B48,Price_List!A:B,2,FALSE)</f>
        <v>7000</v>
      </c>
      <c r="F48">
        <f t="shared" si="0"/>
        <v>14000</v>
      </c>
    </row>
    <row r="49" spans="1:6" x14ac:dyDescent="0.3">
      <c r="A49" t="s">
        <v>29</v>
      </c>
      <c r="B49" t="s">
        <v>17</v>
      </c>
      <c r="C49" t="s">
        <v>18</v>
      </c>
      <c r="D49">
        <v>1</v>
      </c>
      <c r="E49">
        <f>VLOOKUP(B49,Price_List!A:B,2,FALSE)</f>
        <v>7000</v>
      </c>
      <c r="F49">
        <f t="shared" si="0"/>
        <v>7000</v>
      </c>
    </row>
    <row r="50" spans="1:6" x14ac:dyDescent="0.3">
      <c r="A50" t="s">
        <v>29</v>
      </c>
      <c r="B50" t="s">
        <v>20</v>
      </c>
      <c r="C50" t="s">
        <v>13</v>
      </c>
      <c r="D50">
        <v>2</v>
      </c>
      <c r="E50">
        <f>VLOOKUP(B50,Price_List!A:B,2,FALSE)</f>
        <v>25000</v>
      </c>
      <c r="F50">
        <f t="shared" si="0"/>
        <v>50000</v>
      </c>
    </row>
    <row r="51" spans="1:6" x14ac:dyDescent="0.3">
      <c r="A51" t="s">
        <v>29</v>
      </c>
      <c r="B51" t="s">
        <v>12</v>
      </c>
      <c r="C51" t="s">
        <v>13</v>
      </c>
      <c r="D51">
        <v>1</v>
      </c>
      <c r="E51">
        <f>VLOOKUP(B51,Price_List!A:B,2,FALSE)</f>
        <v>5000</v>
      </c>
      <c r="F51">
        <f t="shared" si="0"/>
        <v>5000</v>
      </c>
    </row>
    <row r="52" spans="1:6" x14ac:dyDescent="0.3">
      <c r="A52" t="s">
        <v>30</v>
      </c>
      <c r="B52" t="s">
        <v>15</v>
      </c>
      <c r="C52" t="s">
        <v>8</v>
      </c>
      <c r="D52">
        <v>3</v>
      </c>
      <c r="E52">
        <f>VLOOKUP(B52,Price_List!A:B,2,FALSE)</f>
        <v>30000</v>
      </c>
      <c r="F52">
        <f t="shared" si="0"/>
        <v>90000</v>
      </c>
    </row>
    <row r="53" spans="1:6" x14ac:dyDescent="0.3">
      <c r="A53" t="s">
        <v>30</v>
      </c>
      <c r="B53" t="s">
        <v>23</v>
      </c>
      <c r="C53" t="s">
        <v>18</v>
      </c>
      <c r="D53">
        <v>2</v>
      </c>
      <c r="E53">
        <f>VLOOKUP(B53,Price_List!A:B,2,FALSE)</f>
        <v>5000</v>
      </c>
      <c r="F53">
        <f t="shared" si="0"/>
        <v>10000</v>
      </c>
    </row>
    <row r="54" spans="1:6" x14ac:dyDescent="0.3">
      <c r="A54" t="s">
        <v>30</v>
      </c>
      <c r="B54" t="s">
        <v>7</v>
      </c>
      <c r="C54" t="s">
        <v>8</v>
      </c>
      <c r="D54">
        <v>1</v>
      </c>
      <c r="E54">
        <f>VLOOKUP(B54,Price_List!A:B,2,FALSE)</f>
        <v>18000</v>
      </c>
      <c r="F54">
        <f t="shared" si="0"/>
        <v>18000</v>
      </c>
    </row>
    <row r="55" spans="1:6" x14ac:dyDescent="0.3">
      <c r="A55" t="s">
        <v>30</v>
      </c>
      <c r="B55" t="s">
        <v>17</v>
      </c>
      <c r="C55" t="s">
        <v>18</v>
      </c>
      <c r="D55">
        <v>8</v>
      </c>
      <c r="E55">
        <f>VLOOKUP(B55,Price_List!A:B,2,FALSE)</f>
        <v>7000</v>
      </c>
      <c r="F55">
        <f t="shared" si="0"/>
        <v>56000</v>
      </c>
    </row>
    <row r="56" spans="1:6" x14ac:dyDescent="0.3">
      <c r="A56" t="s">
        <v>30</v>
      </c>
      <c r="B56" t="s">
        <v>23</v>
      </c>
      <c r="C56" t="s">
        <v>18</v>
      </c>
      <c r="D56">
        <v>10</v>
      </c>
      <c r="E56">
        <f>VLOOKUP(B56,Price_List!A:B,2,FALSE)</f>
        <v>5000</v>
      </c>
      <c r="F56">
        <f t="shared" si="0"/>
        <v>50000</v>
      </c>
    </row>
    <row r="57" spans="1:6" x14ac:dyDescent="0.3">
      <c r="A57" t="s">
        <v>31</v>
      </c>
      <c r="B57" t="s">
        <v>26</v>
      </c>
      <c r="C57" t="s">
        <v>18</v>
      </c>
      <c r="D57">
        <v>3</v>
      </c>
      <c r="E57">
        <f>VLOOKUP(B57,Price_List!A:B,2,FALSE)</f>
        <v>2000</v>
      </c>
      <c r="F57">
        <f t="shared" si="0"/>
        <v>6000</v>
      </c>
    </row>
    <row r="58" spans="1:6" x14ac:dyDescent="0.3">
      <c r="A58" t="s">
        <v>31</v>
      </c>
      <c r="B58" t="s">
        <v>26</v>
      </c>
      <c r="C58" t="s">
        <v>18</v>
      </c>
      <c r="D58">
        <v>3</v>
      </c>
      <c r="E58">
        <f>VLOOKUP(B58,Price_List!A:B,2,FALSE)</f>
        <v>2000</v>
      </c>
      <c r="F58">
        <f t="shared" si="0"/>
        <v>6000</v>
      </c>
    </row>
    <row r="59" spans="1:6" x14ac:dyDescent="0.3">
      <c r="A59" t="s">
        <v>31</v>
      </c>
      <c r="B59" t="s">
        <v>7</v>
      </c>
      <c r="C59" t="s">
        <v>8</v>
      </c>
      <c r="D59">
        <v>8</v>
      </c>
      <c r="E59">
        <f>VLOOKUP(B59,Price_List!A:B,2,FALSE)</f>
        <v>18000</v>
      </c>
      <c r="F59">
        <f t="shared" si="0"/>
        <v>144000</v>
      </c>
    </row>
    <row r="60" spans="1:6" x14ac:dyDescent="0.3">
      <c r="A60" t="s">
        <v>31</v>
      </c>
      <c r="B60" t="s">
        <v>20</v>
      </c>
      <c r="C60" t="s">
        <v>13</v>
      </c>
      <c r="D60">
        <v>10</v>
      </c>
      <c r="E60">
        <f>VLOOKUP(B60,Price_List!A:B,2,FALSE)</f>
        <v>25000</v>
      </c>
      <c r="F60">
        <f t="shared" si="0"/>
        <v>250000</v>
      </c>
    </row>
    <row r="61" spans="1:6" x14ac:dyDescent="0.3">
      <c r="A61" t="s">
        <v>31</v>
      </c>
      <c r="B61" t="s">
        <v>20</v>
      </c>
      <c r="C61" t="s">
        <v>13</v>
      </c>
      <c r="D61">
        <v>8</v>
      </c>
      <c r="E61">
        <f>VLOOKUP(B61,Price_List!A:B,2,FALSE)</f>
        <v>25000</v>
      </c>
      <c r="F61">
        <f t="shared" si="0"/>
        <v>200000</v>
      </c>
    </row>
    <row r="62" spans="1:6" x14ac:dyDescent="0.3">
      <c r="A62" t="s">
        <v>32</v>
      </c>
      <c r="B62" t="s">
        <v>23</v>
      </c>
      <c r="C62" t="s">
        <v>18</v>
      </c>
      <c r="D62">
        <v>4</v>
      </c>
      <c r="E62">
        <f>VLOOKUP(B62,Price_List!A:B,2,FALSE)</f>
        <v>5000</v>
      </c>
      <c r="F62">
        <f t="shared" si="0"/>
        <v>20000</v>
      </c>
    </row>
    <row r="63" spans="1:6" x14ac:dyDescent="0.3">
      <c r="A63" t="s">
        <v>32</v>
      </c>
      <c r="B63" t="s">
        <v>16</v>
      </c>
      <c r="C63" t="s">
        <v>8</v>
      </c>
      <c r="D63">
        <v>8</v>
      </c>
      <c r="E63">
        <f>VLOOKUP(B63,Price_List!A:B,2,FALSE)</f>
        <v>14000</v>
      </c>
      <c r="F63">
        <f t="shared" si="0"/>
        <v>112000</v>
      </c>
    </row>
    <row r="64" spans="1:6" x14ac:dyDescent="0.3">
      <c r="A64" t="s">
        <v>32</v>
      </c>
      <c r="B64" t="s">
        <v>9</v>
      </c>
      <c r="C64" t="s">
        <v>8</v>
      </c>
      <c r="D64">
        <v>8</v>
      </c>
      <c r="E64">
        <f>VLOOKUP(B64,Price_List!A:B,2,FALSE)</f>
        <v>75000</v>
      </c>
      <c r="F64">
        <f t="shared" si="0"/>
        <v>600000</v>
      </c>
    </row>
    <row r="65" spans="1:6" x14ac:dyDescent="0.3">
      <c r="A65" t="s">
        <v>32</v>
      </c>
      <c r="B65" t="s">
        <v>10</v>
      </c>
      <c r="C65" t="s">
        <v>11</v>
      </c>
      <c r="D65">
        <v>6</v>
      </c>
      <c r="E65">
        <f>VLOOKUP(B65,Price_List!A:B,2,FALSE)</f>
        <v>3500</v>
      </c>
      <c r="F65">
        <f t="shared" si="0"/>
        <v>21000</v>
      </c>
    </row>
    <row r="66" spans="1:6" x14ac:dyDescent="0.3">
      <c r="A66" t="s">
        <v>32</v>
      </c>
      <c r="B66" t="s">
        <v>12</v>
      </c>
      <c r="C66" t="s">
        <v>13</v>
      </c>
      <c r="D66">
        <v>3</v>
      </c>
      <c r="E66">
        <f>VLOOKUP(B66,Price_List!A:B,2,FALSE)</f>
        <v>5000</v>
      </c>
      <c r="F66">
        <f t="shared" si="0"/>
        <v>15000</v>
      </c>
    </row>
    <row r="67" spans="1:6" x14ac:dyDescent="0.3">
      <c r="A67" t="s">
        <v>33</v>
      </c>
      <c r="B67" t="s">
        <v>15</v>
      </c>
      <c r="C67" t="s">
        <v>8</v>
      </c>
      <c r="D67">
        <v>3</v>
      </c>
      <c r="E67">
        <f>VLOOKUP(B67,Price_List!A:B,2,FALSE)</f>
        <v>30000</v>
      </c>
      <c r="F67">
        <f t="shared" ref="F67:F130" si="1">D67*E67</f>
        <v>90000</v>
      </c>
    </row>
    <row r="68" spans="1:6" x14ac:dyDescent="0.3">
      <c r="A68" t="s">
        <v>33</v>
      </c>
      <c r="B68" t="s">
        <v>26</v>
      </c>
      <c r="C68" t="s">
        <v>18</v>
      </c>
      <c r="D68">
        <v>6</v>
      </c>
      <c r="E68">
        <f>VLOOKUP(B68,Price_List!A:B,2,FALSE)</f>
        <v>2000</v>
      </c>
      <c r="F68">
        <f t="shared" si="1"/>
        <v>12000</v>
      </c>
    </row>
    <row r="69" spans="1:6" x14ac:dyDescent="0.3">
      <c r="A69" t="s">
        <v>33</v>
      </c>
      <c r="B69" t="s">
        <v>15</v>
      </c>
      <c r="C69" t="s">
        <v>8</v>
      </c>
      <c r="D69">
        <v>9</v>
      </c>
      <c r="E69">
        <f>VLOOKUP(B69,Price_List!A:B,2,FALSE)</f>
        <v>30000</v>
      </c>
      <c r="F69">
        <f t="shared" si="1"/>
        <v>270000</v>
      </c>
    </row>
    <row r="70" spans="1:6" x14ac:dyDescent="0.3">
      <c r="A70" t="s">
        <v>33</v>
      </c>
      <c r="B70" t="s">
        <v>7</v>
      </c>
      <c r="C70" t="s">
        <v>8</v>
      </c>
      <c r="D70">
        <v>10</v>
      </c>
      <c r="E70">
        <f>VLOOKUP(B70,Price_List!A:B,2,FALSE)</f>
        <v>18000</v>
      </c>
      <c r="F70">
        <f t="shared" si="1"/>
        <v>180000</v>
      </c>
    </row>
    <row r="71" spans="1:6" x14ac:dyDescent="0.3">
      <c r="A71" t="s">
        <v>33</v>
      </c>
      <c r="B71" t="s">
        <v>7</v>
      </c>
      <c r="C71" t="s">
        <v>8</v>
      </c>
      <c r="D71">
        <v>9</v>
      </c>
      <c r="E71">
        <f>VLOOKUP(B71,Price_List!A:B,2,FALSE)</f>
        <v>18000</v>
      </c>
      <c r="F71">
        <f t="shared" si="1"/>
        <v>162000</v>
      </c>
    </row>
    <row r="72" spans="1:6" x14ac:dyDescent="0.3">
      <c r="A72" t="s">
        <v>34</v>
      </c>
      <c r="B72" t="s">
        <v>26</v>
      </c>
      <c r="C72" t="s">
        <v>18</v>
      </c>
      <c r="D72">
        <v>4</v>
      </c>
      <c r="E72">
        <f>VLOOKUP(B72,Price_List!A:B,2,FALSE)</f>
        <v>2000</v>
      </c>
      <c r="F72">
        <f t="shared" si="1"/>
        <v>8000</v>
      </c>
    </row>
    <row r="73" spans="1:6" x14ac:dyDescent="0.3">
      <c r="A73" t="s">
        <v>34</v>
      </c>
      <c r="B73" t="s">
        <v>16</v>
      </c>
      <c r="C73" t="s">
        <v>8</v>
      </c>
      <c r="D73">
        <v>9</v>
      </c>
      <c r="E73">
        <f>VLOOKUP(B73,Price_List!A:B,2,FALSE)</f>
        <v>14000</v>
      </c>
      <c r="F73">
        <f t="shared" si="1"/>
        <v>126000</v>
      </c>
    </row>
    <row r="74" spans="1:6" x14ac:dyDescent="0.3">
      <c r="A74" t="s">
        <v>34</v>
      </c>
      <c r="B74" t="s">
        <v>10</v>
      </c>
      <c r="C74" t="s">
        <v>11</v>
      </c>
      <c r="D74">
        <v>5</v>
      </c>
      <c r="E74">
        <f>VLOOKUP(B74,Price_List!A:B,2,FALSE)</f>
        <v>3500</v>
      </c>
      <c r="F74">
        <f t="shared" si="1"/>
        <v>17500</v>
      </c>
    </row>
    <row r="75" spans="1:6" x14ac:dyDescent="0.3">
      <c r="A75" t="s">
        <v>34</v>
      </c>
      <c r="B75" t="s">
        <v>7</v>
      </c>
      <c r="C75" t="s">
        <v>8</v>
      </c>
      <c r="D75">
        <v>2</v>
      </c>
      <c r="E75">
        <f>VLOOKUP(B75,Price_List!A:B,2,FALSE)</f>
        <v>18000</v>
      </c>
      <c r="F75">
        <f t="shared" si="1"/>
        <v>36000</v>
      </c>
    </row>
    <row r="76" spans="1:6" x14ac:dyDescent="0.3">
      <c r="A76" t="s">
        <v>34</v>
      </c>
      <c r="B76" t="s">
        <v>15</v>
      </c>
      <c r="C76" t="s">
        <v>8</v>
      </c>
      <c r="D76">
        <v>1</v>
      </c>
      <c r="E76">
        <f>VLOOKUP(B76,Price_List!A:B,2,FALSE)</f>
        <v>30000</v>
      </c>
      <c r="F76">
        <f t="shared" si="1"/>
        <v>30000</v>
      </c>
    </row>
    <row r="77" spans="1:6" x14ac:dyDescent="0.3">
      <c r="A77" t="s">
        <v>35</v>
      </c>
      <c r="B77" t="s">
        <v>26</v>
      </c>
      <c r="C77" t="s">
        <v>18</v>
      </c>
      <c r="D77">
        <v>1</v>
      </c>
      <c r="E77">
        <f>VLOOKUP(B77,Price_List!A:B,2,FALSE)</f>
        <v>2000</v>
      </c>
      <c r="F77">
        <f t="shared" si="1"/>
        <v>2000</v>
      </c>
    </row>
    <row r="78" spans="1:6" x14ac:dyDescent="0.3">
      <c r="A78" t="s">
        <v>35</v>
      </c>
      <c r="B78" t="s">
        <v>15</v>
      </c>
      <c r="C78" t="s">
        <v>8</v>
      </c>
      <c r="D78">
        <v>2</v>
      </c>
      <c r="E78">
        <f>VLOOKUP(B78,Price_List!A:B,2,FALSE)</f>
        <v>30000</v>
      </c>
      <c r="F78">
        <f t="shared" si="1"/>
        <v>60000</v>
      </c>
    </row>
    <row r="79" spans="1:6" x14ac:dyDescent="0.3">
      <c r="A79" t="s">
        <v>35</v>
      </c>
      <c r="B79" t="s">
        <v>17</v>
      </c>
      <c r="C79" t="s">
        <v>18</v>
      </c>
      <c r="D79">
        <v>5</v>
      </c>
      <c r="E79">
        <f>VLOOKUP(B79,Price_List!A:B,2,FALSE)</f>
        <v>7000</v>
      </c>
      <c r="F79">
        <f t="shared" si="1"/>
        <v>35000</v>
      </c>
    </row>
    <row r="80" spans="1:6" x14ac:dyDescent="0.3">
      <c r="A80" t="s">
        <v>35</v>
      </c>
      <c r="B80" t="s">
        <v>10</v>
      </c>
      <c r="C80" t="s">
        <v>11</v>
      </c>
      <c r="D80">
        <v>2</v>
      </c>
      <c r="E80">
        <f>VLOOKUP(B80,Price_List!A:B,2,FALSE)</f>
        <v>3500</v>
      </c>
      <c r="F80">
        <f t="shared" si="1"/>
        <v>7000</v>
      </c>
    </row>
    <row r="81" spans="1:6" x14ac:dyDescent="0.3">
      <c r="A81" t="s">
        <v>35</v>
      </c>
      <c r="B81" t="s">
        <v>17</v>
      </c>
      <c r="C81" t="s">
        <v>18</v>
      </c>
      <c r="D81">
        <v>6</v>
      </c>
      <c r="E81">
        <f>VLOOKUP(B81,Price_List!A:B,2,FALSE)</f>
        <v>7000</v>
      </c>
      <c r="F81">
        <f t="shared" si="1"/>
        <v>42000</v>
      </c>
    </row>
    <row r="82" spans="1:6" x14ac:dyDescent="0.3">
      <c r="A82" t="s">
        <v>36</v>
      </c>
      <c r="B82" t="s">
        <v>10</v>
      </c>
      <c r="C82" t="s">
        <v>11</v>
      </c>
      <c r="D82">
        <v>1</v>
      </c>
      <c r="E82">
        <f>VLOOKUP(B82,Price_List!A:B,2,FALSE)</f>
        <v>3500</v>
      </c>
      <c r="F82">
        <f t="shared" si="1"/>
        <v>3500</v>
      </c>
    </row>
    <row r="83" spans="1:6" x14ac:dyDescent="0.3">
      <c r="A83" t="s">
        <v>36</v>
      </c>
      <c r="B83" t="s">
        <v>10</v>
      </c>
      <c r="C83" t="s">
        <v>11</v>
      </c>
      <c r="D83">
        <v>6</v>
      </c>
      <c r="E83">
        <f>VLOOKUP(B83,Price_List!A:B,2,FALSE)</f>
        <v>3500</v>
      </c>
      <c r="F83">
        <f t="shared" si="1"/>
        <v>21000</v>
      </c>
    </row>
    <row r="84" spans="1:6" x14ac:dyDescent="0.3">
      <c r="A84" t="s">
        <v>36</v>
      </c>
      <c r="B84" t="s">
        <v>17</v>
      </c>
      <c r="C84" t="s">
        <v>18</v>
      </c>
      <c r="D84">
        <v>6</v>
      </c>
      <c r="E84">
        <f>VLOOKUP(B84,Price_List!A:B,2,FALSE)</f>
        <v>7000</v>
      </c>
      <c r="F84">
        <f t="shared" si="1"/>
        <v>42000</v>
      </c>
    </row>
    <row r="85" spans="1:6" x14ac:dyDescent="0.3">
      <c r="A85" t="s">
        <v>36</v>
      </c>
      <c r="B85" t="s">
        <v>12</v>
      </c>
      <c r="C85" t="s">
        <v>13</v>
      </c>
      <c r="D85">
        <v>6</v>
      </c>
      <c r="E85">
        <f>VLOOKUP(B85,Price_List!A:B,2,FALSE)</f>
        <v>5000</v>
      </c>
      <c r="F85">
        <f t="shared" si="1"/>
        <v>30000</v>
      </c>
    </row>
    <row r="86" spans="1:6" x14ac:dyDescent="0.3">
      <c r="A86" t="s">
        <v>36</v>
      </c>
      <c r="B86" t="s">
        <v>10</v>
      </c>
      <c r="C86" t="s">
        <v>11</v>
      </c>
      <c r="D86">
        <v>5</v>
      </c>
      <c r="E86">
        <f>VLOOKUP(B86,Price_List!A:B,2,FALSE)</f>
        <v>3500</v>
      </c>
      <c r="F86">
        <f t="shared" si="1"/>
        <v>17500</v>
      </c>
    </row>
    <row r="87" spans="1:6" x14ac:dyDescent="0.3">
      <c r="A87" t="s">
        <v>37</v>
      </c>
      <c r="B87" t="s">
        <v>12</v>
      </c>
      <c r="C87" t="s">
        <v>13</v>
      </c>
      <c r="D87">
        <v>10</v>
      </c>
      <c r="E87">
        <f>VLOOKUP(B87,Price_List!A:B,2,FALSE)</f>
        <v>5000</v>
      </c>
      <c r="F87">
        <f t="shared" si="1"/>
        <v>50000</v>
      </c>
    </row>
    <row r="88" spans="1:6" x14ac:dyDescent="0.3">
      <c r="A88" t="s">
        <v>37</v>
      </c>
      <c r="B88" t="s">
        <v>9</v>
      </c>
      <c r="C88" t="s">
        <v>8</v>
      </c>
      <c r="D88">
        <v>10</v>
      </c>
      <c r="E88">
        <f>VLOOKUP(B88,Price_List!A:B,2,FALSE)</f>
        <v>75000</v>
      </c>
      <c r="F88">
        <f t="shared" si="1"/>
        <v>750000</v>
      </c>
    </row>
    <row r="89" spans="1:6" x14ac:dyDescent="0.3">
      <c r="A89" t="s">
        <v>37</v>
      </c>
      <c r="B89" t="s">
        <v>20</v>
      </c>
      <c r="C89" t="s">
        <v>13</v>
      </c>
      <c r="D89">
        <v>7</v>
      </c>
      <c r="E89">
        <f>VLOOKUP(B89,Price_List!A:B,2,FALSE)</f>
        <v>25000</v>
      </c>
      <c r="F89">
        <f t="shared" si="1"/>
        <v>175000</v>
      </c>
    </row>
    <row r="90" spans="1:6" x14ac:dyDescent="0.3">
      <c r="A90" t="s">
        <v>37</v>
      </c>
      <c r="B90" t="s">
        <v>16</v>
      </c>
      <c r="C90" t="s">
        <v>8</v>
      </c>
      <c r="D90">
        <v>6</v>
      </c>
      <c r="E90">
        <f>VLOOKUP(B90,Price_List!A:B,2,FALSE)</f>
        <v>14000</v>
      </c>
      <c r="F90">
        <f t="shared" si="1"/>
        <v>84000</v>
      </c>
    </row>
    <row r="91" spans="1:6" x14ac:dyDescent="0.3">
      <c r="A91" t="s">
        <v>37</v>
      </c>
      <c r="B91" t="s">
        <v>20</v>
      </c>
      <c r="C91" t="s">
        <v>13</v>
      </c>
      <c r="D91">
        <v>2</v>
      </c>
      <c r="E91">
        <f>VLOOKUP(B91,Price_List!A:B,2,FALSE)</f>
        <v>25000</v>
      </c>
      <c r="F91">
        <f t="shared" si="1"/>
        <v>50000</v>
      </c>
    </row>
    <row r="92" spans="1:6" x14ac:dyDescent="0.3">
      <c r="A92" t="s">
        <v>38</v>
      </c>
      <c r="B92" t="s">
        <v>16</v>
      </c>
      <c r="C92" t="s">
        <v>8</v>
      </c>
      <c r="D92">
        <v>7</v>
      </c>
      <c r="E92">
        <f>VLOOKUP(B92,Price_List!A:B,2,FALSE)</f>
        <v>14000</v>
      </c>
      <c r="F92">
        <f t="shared" si="1"/>
        <v>98000</v>
      </c>
    </row>
    <row r="93" spans="1:6" x14ac:dyDescent="0.3">
      <c r="A93" t="s">
        <v>38</v>
      </c>
      <c r="B93" t="s">
        <v>10</v>
      </c>
      <c r="C93" t="s">
        <v>11</v>
      </c>
      <c r="D93">
        <v>3</v>
      </c>
      <c r="E93">
        <f>VLOOKUP(B93,Price_List!A:B,2,FALSE)</f>
        <v>3500</v>
      </c>
      <c r="F93">
        <f t="shared" si="1"/>
        <v>10500</v>
      </c>
    </row>
    <row r="94" spans="1:6" x14ac:dyDescent="0.3">
      <c r="A94" t="s">
        <v>38</v>
      </c>
      <c r="B94" t="s">
        <v>12</v>
      </c>
      <c r="C94" t="s">
        <v>13</v>
      </c>
      <c r="D94">
        <v>9</v>
      </c>
      <c r="E94">
        <f>VLOOKUP(B94,Price_List!A:B,2,FALSE)</f>
        <v>5000</v>
      </c>
      <c r="F94">
        <f t="shared" si="1"/>
        <v>45000</v>
      </c>
    </row>
    <row r="95" spans="1:6" x14ac:dyDescent="0.3">
      <c r="A95" t="s">
        <v>38</v>
      </c>
      <c r="B95" t="s">
        <v>9</v>
      </c>
      <c r="C95" t="s">
        <v>8</v>
      </c>
      <c r="D95">
        <v>3</v>
      </c>
      <c r="E95">
        <f>VLOOKUP(B95,Price_List!A:B,2,FALSE)</f>
        <v>75000</v>
      </c>
      <c r="F95">
        <f t="shared" si="1"/>
        <v>225000</v>
      </c>
    </row>
    <row r="96" spans="1:6" x14ac:dyDescent="0.3">
      <c r="A96" t="s">
        <v>38</v>
      </c>
      <c r="B96" t="s">
        <v>10</v>
      </c>
      <c r="C96" t="s">
        <v>11</v>
      </c>
      <c r="D96">
        <v>1</v>
      </c>
      <c r="E96">
        <f>VLOOKUP(B96,Price_List!A:B,2,FALSE)</f>
        <v>3500</v>
      </c>
      <c r="F96">
        <f t="shared" si="1"/>
        <v>3500</v>
      </c>
    </row>
    <row r="97" spans="1:6" x14ac:dyDescent="0.3">
      <c r="A97" t="s">
        <v>39</v>
      </c>
      <c r="B97" t="s">
        <v>26</v>
      </c>
      <c r="C97" t="s">
        <v>18</v>
      </c>
      <c r="D97">
        <v>1</v>
      </c>
      <c r="E97">
        <f>VLOOKUP(B97,Price_List!A:B,2,FALSE)</f>
        <v>2000</v>
      </c>
      <c r="F97">
        <f t="shared" si="1"/>
        <v>2000</v>
      </c>
    </row>
    <row r="98" spans="1:6" x14ac:dyDescent="0.3">
      <c r="A98" t="s">
        <v>39</v>
      </c>
      <c r="B98" t="s">
        <v>10</v>
      </c>
      <c r="C98" t="s">
        <v>11</v>
      </c>
      <c r="D98">
        <v>9</v>
      </c>
      <c r="E98">
        <f>VLOOKUP(B98,Price_List!A:B,2,FALSE)</f>
        <v>3500</v>
      </c>
      <c r="F98">
        <f t="shared" si="1"/>
        <v>31500</v>
      </c>
    </row>
    <row r="99" spans="1:6" x14ac:dyDescent="0.3">
      <c r="A99" t="s">
        <v>39</v>
      </c>
      <c r="B99" t="s">
        <v>9</v>
      </c>
      <c r="C99" t="s">
        <v>8</v>
      </c>
      <c r="D99">
        <v>10</v>
      </c>
      <c r="E99">
        <f>VLOOKUP(B99,Price_List!A:B,2,FALSE)</f>
        <v>75000</v>
      </c>
      <c r="F99">
        <f t="shared" si="1"/>
        <v>750000</v>
      </c>
    </row>
    <row r="100" spans="1:6" x14ac:dyDescent="0.3">
      <c r="A100" t="s">
        <v>39</v>
      </c>
      <c r="B100" t="s">
        <v>10</v>
      </c>
      <c r="C100" t="s">
        <v>11</v>
      </c>
      <c r="D100">
        <v>8</v>
      </c>
      <c r="E100">
        <f>VLOOKUP(B100,Price_List!A:B,2,FALSE)</f>
        <v>3500</v>
      </c>
      <c r="F100">
        <f t="shared" si="1"/>
        <v>28000</v>
      </c>
    </row>
    <row r="101" spans="1:6" x14ac:dyDescent="0.3">
      <c r="A101" t="s">
        <v>39</v>
      </c>
      <c r="B101" t="s">
        <v>15</v>
      </c>
      <c r="C101" t="s">
        <v>8</v>
      </c>
      <c r="D101">
        <v>7</v>
      </c>
      <c r="E101">
        <f>VLOOKUP(B101,Price_List!A:B,2,FALSE)</f>
        <v>30000</v>
      </c>
      <c r="F101">
        <f t="shared" si="1"/>
        <v>210000</v>
      </c>
    </row>
    <row r="102" spans="1:6" x14ac:dyDescent="0.3">
      <c r="A102" t="s">
        <v>40</v>
      </c>
      <c r="B102" t="s">
        <v>15</v>
      </c>
      <c r="C102" t="s">
        <v>8</v>
      </c>
      <c r="D102">
        <v>2</v>
      </c>
      <c r="E102">
        <f>VLOOKUP(B102,Price_List!A:B,2,FALSE)</f>
        <v>30000</v>
      </c>
      <c r="F102">
        <f t="shared" si="1"/>
        <v>60000</v>
      </c>
    </row>
    <row r="103" spans="1:6" x14ac:dyDescent="0.3">
      <c r="A103" t="s">
        <v>40</v>
      </c>
      <c r="B103" t="s">
        <v>10</v>
      </c>
      <c r="C103" t="s">
        <v>11</v>
      </c>
      <c r="D103">
        <v>9</v>
      </c>
      <c r="E103">
        <f>VLOOKUP(B103,Price_List!A:B,2,FALSE)</f>
        <v>3500</v>
      </c>
      <c r="F103">
        <f t="shared" si="1"/>
        <v>31500</v>
      </c>
    </row>
    <row r="104" spans="1:6" x14ac:dyDescent="0.3">
      <c r="A104" t="s">
        <v>40</v>
      </c>
      <c r="B104" t="s">
        <v>12</v>
      </c>
      <c r="C104" t="s">
        <v>13</v>
      </c>
      <c r="D104">
        <v>4</v>
      </c>
      <c r="E104">
        <f>VLOOKUP(B104,Price_List!A:B,2,FALSE)</f>
        <v>5000</v>
      </c>
      <c r="F104">
        <f t="shared" si="1"/>
        <v>20000</v>
      </c>
    </row>
    <row r="105" spans="1:6" x14ac:dyDescent="0.3">
      <c r="A105" t="s">
        <v>40</v>
      </c>
      <c r="B105" t="s">
        <v>15</v>
      </c>
      <c r="C105" t="s">
        <v>8</v>
      </c>
      <c r="D105">
        <v>3</v>
      </c>
      <c r="E105">
        <f>VLOOKUP(B105,Price_List!A:B,2,FALSE)</f>
        <v>30000</v>
      </c>
      <c r="F105">
        <f t="shared" si="1"/>
        <v>90000</v>
      </c>
    </row>
    <row r="106" spans="1:6" x14ac:dyDescent="0.3">
      <c r="A106" t="s">
        <v>40</v>
      </c>
      <c r="B106" t="s">
        <v>9</v>
      </c>
      <c r="C106" t="s">
        <v>8</v>
      </c>
      <c r="D106">
        <v>6</v>
      </c>
      <c r="E106">
        <f>VLOOKUP(B106,Price_List!A:B,2,FALSE)</f>
        <v>75000</v>
      </c>
      <c r="F106">
        <f t="shared" si="1"/>
        <v>450000</v>
      </c>
    </row>
    <row r="107" spans="1:6" x14ac:dyDescent="0.3">
      <c r="A107" t="s">
        <v>41</v>
      </c>
      <c r="B107" t="s">
        <v>23</v>
      </c>
      <c r="C107" t="s">
        <v>18</v>
      </c>
      <c r="D107">
        <v>3</v>
      </c>
      <c r="E107">
        <f>VLOOKUP(B107,Price_List!A:B,2,FALSE)</f>
        <v>5000</v>
      </c>
      <c r="F107">
        <f t="shared" si="1"/>
        <v>15000</v>
      </c>
    </row>
    <row r="108" spans="1:6" x14ac:dyDescent="0.3">
      <c r="A108" t="s">
        <v>41</v>
      </c>
      <c r="B108" t="s">
        <v>10</v>
      </c>
      <c r="C108" t="s">
        <v>11</v>
      </c>
      <c r="D108">
        <v>5</v>
      </c>
      <c r="E108">
        <f>VLOOKUP(B108,Price_List!A:B,2,FALSE)</f>
        <v>3500</v>
      </c>
      <c r="F108">
        <f t="shared" si="1"/>
        <v>17500</v>
      </c>
    </row>
    <row r="109" spans="1:6" x14ac:dyDescent="0.3">
      <c r="A109" t="s">
        <v>41</v>
      </c>
      <c r="B109" t="s">
        <v>26</v>
      </c>
      <c r="C109" t="s">
        <v>18</v>
      </c>
      <c r="D109">
        <v>6</v>
      </c>
      <c r="E109">
        <f>VLOOKUP(B109,Price_List!A:B,2,FALSE)</f>
        <v>2000</v>
      </c>
      <c r="F109">
        <f t="shared" si="1"/>
        <v>12000</v>
      </c>
    </row>
    <row r="110" spans="1:6" x14ac:dyDescent="0.3">
      <c r="A110" t="s">
        <v>41</v>
      </c>
      <c r="B110" t="s">
        <v>16</v>
      </c>
      <c r="C110" t="s">
        <v>8</v>
      </c>
      <c r="D110">
        <v>5</v>
      </c>
      <c r="E110">
        <f>VLOOKUP(B110,Price_List!A:B,2,FALSE)</f>
        <v>14000</v>
      </c>
      <c r="F110">
        <f t="shared" si="1"/>
        <v>70000</v>
      </c>
    </row>
    <row r="111" spans="1:6" x14ac:dyDescent="0.3">
      <c r="A111" t="s">
        <v>41</v>
      </c>
      <c r="B111" t="s">
        <v>7</v>
      </c>
      <c r="C111" t="s">
        <v>8</v>
      </c>
      <c r="D111">
        <v>7</v>
      </c>
      <c r="E111">
        <f>VLOOKUP(B111,Price_List!A:B,2,FALSE)</f>
        <v>18000</v>
      </c>
      <c r="F111">
        <f t="shared" si="1"/>
        <v>126000</v>
      </c>
    </row>
    <row r="112" spans="1:6" x14ac:dyDescent="0.3">
      <c r="A112" t="s">
        <v>42</v>
      </c>
      <c r="B112" t="s">
        <v>9</v>
      </c>
      <c r="C112" t="s">
        <v>8</v>
      </c>
      <c r="D112">
        <v>3</v>
      </c>
      <c r="E112">
        <f>VLOOKUP(B112,Price_List!A:B,2,FALSE)</f>
        <v>75000</v>
      </c>
      <c r="F112">
        <f t="shared" si="1"/>
        <v>225000</v>
      </c>
    </row>
    <row r="113" spans="1:6" x14ac:dyDescent="0.3">
      <c r="A113" t="s">
        <v>42</v>
      </c>
      <c r="B113" t="s">
        <v>20</v>
      </c>
      <c r="C113" t="s">
        <v>13</v>
      </c>
      <c r="D113">
        <v>8</v>
      </c>
      <c r="E113">
        <f>VLOOKUP(B113,Price_List!A:B,2,FALSE)</f>
        <v>25000</v>
      </c>
      <c r="F113">
        <f t="shared" si="1"/>
        <v>200000</v>
      </c>
    </row>
    <row r="114" spans="1:6" x14ac:dyDescent="0.3">
      <c r="A114" t="s">
        <v>42</v>
      </c>
      <c r="B114" t="s">
        <v>15</v>
      </c>
      <c r="C114" t="s">
        <v>8</v>
      </c>
      <c r="D114">
        <v>9</v>
      </c>
      <c r="E114">
        <f>VLOOKUP(B114,Price_List!A:B,2,FALSE)</f>
        <v>30000</v>
      </c>
      <c r="F114">
        <f t="shared" si="1"/>
        <v>270000</v>
      </c>
    </row>
    <row r="115" spans="1:6" x14ac:dyDescent="0.3">
      <c r="A115" t="s">
        <v>42</v>
      </c>
      <c r="B115" t="s">
        <v>15</v>
      </c>
      <c r="C115" t="s">
        <v>8</v>
      </c>
      <c r="D115">
        <v>1</v>
      </c>
      <c r="E115">
        <f>VLOOKUP(B115,Price_List!A:B,2,FALSE)</f>
        <v>30000</v>
      </c>
      <c r="F115">
        <f t="shared" si="1"/>
        <v>30000</v>
      </c>
    </row>
    <row r="116" spans="1:6" x14ac:dyDescent="0.3">
      <c r="A116" t="s">
        <v>42</v>
      </c>
      <c r="B116" t="s">
        <v>23</v>
      </c>
      <c r="C116" t="s">
        <v>18</v>
      </c>
      <c r="D116">
        <v>8</v>
      </c>
      <c r="E116">
        <f>VLOOKUP(B116,Price_List!A:B,2,FALSE)</f>
        <v>5000</v>
      </c>
      <c r="F116">
        <f t="shared" si="1"/>
        <v>40000</v>
      </c>
    </row>
    <row r="117" spans="1:6" x14ac:dyDescent="0.3">
      <c r="A117" t="s">
        <v>43</v>
      </c>
      <c r="B117" t="s">
        <v>10</v>
      </c>
      <c r="C117" t="s">
        <v>11</v>
      </c>
      <c r="D117">
        <v>4</v>
      </c>
      <c r="E117">
        <f>VLOOKUP(B117,Price_List!A:B,2,FALSE)</f>
        <v>3500</v>
      </c>
      <c r="F117">
        <f t="shared" si="1"/>
        <v>14000</v>
      </c>
    </row>
    <row r="118" spans="1:6" x14ac:dyDescent="0.3">
      <c r="A118" t="s">
        <v>43</v>
      </c>
      <c r="B118" t="s">
        <v>20</v>
      </c>
      <c r="C118" t="s">
        <v>13</v>
      </c>
      <c r="D118">
        <v>6</v>
      </c>
      <c r="E118">
        <f>VLOOKUP(B118,Price_List!A:B,2,FALSE)</f>
        <v>25000</v>
      </c>
      <c r="F118">
        <f t="shared" si="1"/>
        <v>150000</v>
      </c>
    </row>
    <row r="119" spans="1:6" x14ac:dyDescent="0.3">
      <c r="A119" t="s">
        <v>43</v>
      </c>
      <c r="B119" t="s">
        <v>12</v>
      </c>
      <c r="C119" t="s">
        <v>13</v>
      </c>
      <c r="D119">
        <v>9</v>
      </c>
      <c r="E119">
        <f>VLOOKUP(B119,Price_List!A:B,2,FALSE)</f>
        <v>5000</v>
      </c>
      <c r="F119">
        <f t="shared" si="1"/>
        <v>45000</v>
      </c>
    </row>
    <row r="120" spans="1:6" x14ac:dyDescent="0.3">
      <c r="A120" t="s">
        <v>43</v>
      </c>
      <c r="B120" t="s">
        <v>10</v>
      </c>
      <c r="C120" t="s">
        <v>11</v>
      </c>
      <c r="D120">
        <v>9</v>
      </c>
      <c r="E120">
        <f>VLOOKUP(B120,Price_List!A:B,2,FALSE)</f>
        <v>3500</v>
      </c>
      <c r="F120">
        <f t="shared" si="1"/>
        <v>31500</v>
      </c>
    </row>
    <row r="121" spans="1:6" x14ac:dyDescent="0.3">
      <c r="A121" t="s">
        <v>43</v>
      </c>
      <c r="B121" t="s">
        <v>23</v>
      </c>
      <c r="C121" t="s">
        <v>18</v>
      </c>
      <c r="D121">
        <v>5</v>
      </c>
      <c r="E121">
        <f>VLOOKUP(B121,Price_List!A:B,2,FALSE)</f>
        <v>5000</v>
      </c>
      <c r="F121">
        <f t="shared" si="1"/>
        <v>25000</v>
      </c>
    </row>
    <row r="122" spans="1:6" x14ac:dyDescent="0.3">
      <c r="A122" t="s">
        <v>44</v>
      </c>
      <c r="B122" t="s">
        <v>15</v>
      </c>
      <c r="C122" t="s">
        <v>8</v>
      </c>
      <c r="D122">
        <v>8</v>
      </c>
      <c r="E122">
        <f>VLOOKUP(B122,Price_List!A:B,2,FALSE)</f>
        <v>30000</v>
      </c>
      <c r="F122">
        <f t="shared" si="1"/>
        <v>240000</v>
      </c>
    </row>
    <row r="123" spans="1:6" x14ac:dyDescent="0.3">
      <c r="A123" t="s">
        <v>44</v>
      </c>
      <c r="B123" t="s">
        <v>20</v>
      </c>
      <c r="C123" t="s">
        <v>13</v>
      </c>
      <c r="D123">
        <v>4</v>
      </c>
      <c r="E123">
        <f>VLOOKUP(B123,Price_List!A:B,2,FALSE)</f>
        <v>25000</v>
      </c>
      <c r="F123">
        <f t="shared" si="1"/>
        <v>100000</v>
      </c>
    </row>
    <row r="124" spans="1:6" x14ac:dyDescent="0.3">
      <c r="A124" t="s">
        <v>44</v>
      </c>
      <c r="B124" t="s">
        <v>20</v>
      </c>
      <c r="C124" t="s">
        <v>13</v>
      </c>
      <c r="D124">
        <v>4</v>
      </c>
      <c r="E124">
        <f>VLOOKUP(B124,Price_List!A:B,2,FALSE)</f>
        <v>25000</v>
      </c>
      <c r="F124">
        <f t="shared" si="1"/>
        <v>100000</v>
      </c>
    </row>
    <row r="125" spans="1:6" x14ac:dyDescent="0.3">
      <c r="A125" t="s">
        <v>44</v>
      </c>
      <c r="B125" t="s">
        <v>7</v>
      </c>
      <c r="C125" t="s">
        <v>8</v>
      </c>
      <c r="D125">
        <v>4</v>
      </c>
      <c r="E125">
        <f>VLOOKUP(B125,Price_List!A:B,2,FALSE)</f>
        <v>18000</v>
      </c>
      <c r="F125">
        <f t="shared" si="1"/>
        <v>72000</v>
      </c>
    </row>
    <row r="126" spans="1:6" x14ac:dyDescent="0.3">
      <c r="A126" t="s">
        <v>44</v>
      </c>
      <c r="B126" t="s">
        <v>7</v>
      </c>
      <c r="C126" t="s">
        <v>8</v>
      </c>
      <c r="D126">
        <v>5</v>
      </c>
      <c r="E126">
        <f>VLOOKUP(B126,Price_List!A:B,2,FALSE)</f>
        <v>18000</v>
      </c>
      <c r="F126">
        <f t="shared" si="1"/>
        <v>90000</v>
      </c>
    </row>
    <row r="127" spans="1:6" x14ac:dyDescent="0.3">
      <c r="A127" t="s">
        <v>45</v>
      </c>
      <c r="B127" t="s">
        <v>12</v>
      </c>
      <c r="C127" t="s">
        <v>13</v>
      </c>
      <c r="D127">
        <v>9</v>
      </c>
      <c r="E127">
        <f>VLOOKUP(B127,Price_List!A:B,2,FALSE)</f>
        <v>5000</v>
      </c>
      <c r="F127">
        <f t="shared" si="1"/>
        <v>45000</v>
      </c>
    </row>
    <row r="128" spans="1:6" x14ac:dyDescent="0.3">
      <c r="A128" t="s">
        <v>45</v>
      </c>
      <c r="B128" t="s">
        <v>26</v>
      </c>
      <c r="C128" t="s">
        <v>18</v>
      </c>
      <c r="D128">
        <v>10</v>
      </c>
      <c r="E128">
        <f>VLOOKUP(B128,Price_List!A:B,2,FALSE)</f>
        <v>2000</v>
      </c>
      <c r="F128">
        <f t="shared" si="1"/>
        <v>20000</v>
      </c>
    </row>
    <row r="129" spans="1:6" x14ac:dyDescent="0.3">
      <c r="A129" t="s">
        <v>45</v>
      </c>
      <c r="B129" t="s">
        <v>23</v>
      </c>
      <c r="C129" t="s">
        <v>18</v>
      </c>
      <c r="D129">
        <v>6</v>
      </c>
      <c r="E129">
        <f>VLOOKUP(B129,Price_List!A:B,2,FALSE)</f>
        <v>5000</v>
      </c>
      <c r="F129">
        <f t="shared" si="1"/>
        <v>30000</v>
      </c>
    </row>
    <row r="130" spans="1:6" x14ac:dyDescent="0.3">
      <c r="A130" t="s">
        <v>45</v>
      </c>
      <c r="B130" t="s">
        <v>9</v>
      </c>
      <c r="C130" t="s">
        <v>8</v>
      </c>
      <c r="D130">
        <v>9</v>
      </c>
      <c r="E130">
        <f>VLOOKUP(B130,Price_List!A:B,2,FALSE)</f>
        <v>75000</v>
      </c>
      <c r="F130">
        <f t="shared" si="1"/>
        <v>675000</v>
      </c>
    </row>
    <row r="131" spans="1:6" x14ac:dyDescent="0.3">
      <c r="A131" t="s">
        <v>45</v>
      </c>
      <c r="B131" t="s">
        <v>10</v>
      </c>
      <c r="C131" t="s">
        <v>11</v>
      </c>
      <c r="D131">
        <v>10</v>
      </c>
      <c r="E131">
        <f>VLOOKUP(B131,Price_List!A:B,2,FALSE)</f>
        <v>3500</v>
      </c>
      <c r="F131">
        <f t="shared" ref="F131:F194" si="2">D131*E131</f>
        <v>35000</v>
      </c>
    </row>
    <row r="132" spans="1:6" x14ac:dyDescent="0.3">
      <c r="A132" t="s">
        <v>46</v>
      </c>
      <c r="B132" t="s">
        <v>10</v>
      </c>
      <c r="C132" t="s">
        <v>11</v>
      </c>
      <c r="D132">
        <v>8</v>
      </c>
      <c r="E132">
        <f>VLOOKUP(B132,Price_List!A:B,2,FALSE)</f>
        <v>3500</v>
      </c>
      <c r="F132">
        <f t="shared" si="2"/>
        <v>28000</v>
      </c>
    </row>
    <row r="133" spans="1:6" x14ac:dyDescent="0.3">
      <c r="A133" t="s">
        <v>46</v>
      </c>
      <c r="B133" t="s">
        <v>20</v>
      </c>
      <c r="C133" t="s">
        <v>13</v>
      </c>
      <c r="D133">
        <v>6</v>
      </c>
      <c r="E133">
        <f>VLOOKUP(B133,Price_List!A:B,2,FALSE)</f>
        <v>25000</v>
      </c>
      <c r="F133">
        <f t="shared" si="2"/>
        <v>150000</v>
      </c>
    </row>
    <row r="134" spans="1:6" x14ac:dyDescent="0.3">
      <c r="A134" t="s">
        <v>46</v>
      </c>
      <c r="B134" t="s">
        <v>16</v>
      </c>
      <c r="C134" t="s">
        <v>8</v>
      </c>
      <c r="D134">
        <v>7</v>
      </c>
      <c r="E134">
        <f>VLOOKUP(B134,Price_List!A:B,2,FALSE)</f>
        <v>14000</v>
      </c>
      <c r="F134">
        <f t="shared" si="2"/>
        <v>98000</v>
      </c>
    </row>
    <row r="135" spans="1:6" x14ac:dyDescent="0.3">
      <c r="A135" t="s">
        <v>46</v>
      </c>
      <c r="B135" t="s">
        <v>20</v>
      </c>
      <c r="C135" t="s">
        <v>13</v>
      </c>
      <c r="D135">
        <v>6</v>
      </c>
      <c r="E135">
        <f>VLOOKUP(B135,Price_List!A:B,2,FALSE)</f>
        <v>25000</v>
      </c>
      <c r="F135">
        <f t="shared" si="2"/>
        <v>150000</v>
      </c>
    </row>
    <row r="136" spans="1:6" x14ac:dyDescent="0.3">
      <c r="A136" t="s">
        <v>46</v>
      </c>
      <c r="B136" t="s">
        <v>10</v>
      </c>
      <c r="C136" t="s">
        <v>11</v>
      </c>
      <c r="D136">
        <v>1</v>
      </c>
      <c r="E136">
        <f>VLOOKUP(B136,Price_List!A:B,2,FALSE)</f>
        <v>3500</v>
      </c>
      <c r="F136">
        <f t="shared" si="2"/>
        <v>3500</v>
      </c>
    </row>
    <row r="137" spans="1:6" x14ac:dyDescent="0.3">
      <c r="A137" t="s">
        <v>47</v>
      </c>
      <c r="B137" t="s">
        <v>12</v>
      </c>
      <c r="C137" t="s">
        <v>13</v>
      </c>
      <c r="D137">
        <v>6</v>
      </c>
      <c r="E137">
        <f>VLOOKUP(B137,Price_List!A:B,2,FALSE)</f>
        <v>5000</v>
      </c>
      <c r="F137">
        <f t="shared" si="2"/>
        <v>30000</v>
      </c>
    </row>
    <row r="138" spans="1:6" x14ac:dyDescent="0.3">
      <c r="A138" t="s">
        <v>47</v>
      </c>
      <c r="B138" t="s">
        <v>10</v>
      </c>
      <c r="C138" t="s">
        <v>11</v>
      </c>
      <c r="D138">
        <v>8</v>
      </c>
      <c r="E138">
        <f>VLOOKUP(B138,Price_List!A:B,2,FALSE)</f>
        <v>3500</v>
      </c>
      <c r="F138">
        <f t="shared" si="2"/>
        <v>28000</v>
      </c>
    </row>
    <row r="139" spans="1:6" x14ac:dyDescent="0.3">
      <c r="A139" t="s">
        <v>47</v>
      </c>
      <c r="B139" t="s">
        <v>23</v>
      </c>
      <c r="C139" t="s">
        <v>18</v>
      </c>
      <c r="D139">
        <v>3</v>
      </c>
      <c r="E139">
        <f>VLOOKUP(B139,Price_List!A:B,2,FALSE)</f>
        <v>5000</v>
      </c>
      <c r="F139">
        <f t="shared" si="2"/>
        <v>15000</v>
      </c>
    </row>
    <row r="140" spans="1:6" x14ac:dyDescent="0.3">
      <c r="A140" t="s">
        <v>47</v>
      </c>
      <c r="B140" t="s">
        <v>23</v>
      </c>
      <c r="C140" t="s">
        <v>18</v>
      </c>
      <c r="D140">
        <v>7</v>
      </c>
      <c r="E140">
        <f>VLOOKUP(B140,Price_List!A:B,2,FALSE)</f>
        <v>5000</v>
      </c>
      <c r="F140">
        <f t="shared" si="2"/>
        <v>35000</v>
      </c>
    </row>
    <row r="141" spans="1:6" x14ac:dyDescent="0.3">
      <c r="A141" t="s">
        <v>47</v>
      </c>
      <c r="B141" t="s">
        <v>26</v>
      </c>
      <c r="C141" t="s">
        <v>18</v>
      </c>
      <c r="D141">
        <v>7</v>
      </c>
      <c r="E141">
        <f>VLOOKUP(B141,Price_List!A:B,2,FALSE)</f>
        <v>2000</v>
      </c>
      <c r="F141">
        <f t="shared" si="2"/>
        <v>14000</v>
      </c>
    </row>
    <row r="142" spans="1:6" x14ac:dyDescent="0.3">
      <c r="A142" t="s">
        <v>48</v>
      </c>
      <c r="B142" t="s">
        <v>12</v>
      </c>
      <c r="C142" t="s">
        <v>13</v>
      </c>
      <c r="D142">
        <v>5</v>
      </c>
      <c r="E142">
        <f>VLOOKUP(B142,Price_List!A:B,2,FALSE)</f>
        <v>5000</v>
      </c>
      <c r="F142">
        <f t="shared" si="2"/>
        <v>25000</v>
      </c>
    </row>
    <row r="143" spans="1:6" x14ac:dyDescent="0.3">
      <c r="A143" t="s">
        <v>48</v>
      </c>
      <c r="B143" t="s">
        <v>26</v>
      </c>
      <c r="C143" t="s">
        <v>18</v>
      </c>
      <c r="D143">
        <v>9</v>
      </c>
      <c r="E143">
        <f>VLOOKUP(B143,Price_List!A:B,2,FALSE)</f>
        <v>2000</v>
      </c>
      <c r="F143">
        <f t="shared" si="2"/>
        <v>18000</v>
      </c>
    </row>
    <row r="144" spans="1:6" x14ac:dyDescent="0.3">
      <c r="A144" t="s">
        <v>48</v>
      </c>
      <c r="B144" t="s">
        <v>12</v>
      </c>
      <c r="C144" t="s">
        <v>13</v>
      </c>
      <c r="D144">
        <v>2</v>
      </c>
      <c r="E144">
        <f>VLOOKUP(B144,Price_List!A:B,2,FALSE)</f>
        <v>5000</v>
      </c>
      <c r="F144">
        <f t="shared" si="2"/>
        <v>10000</v>
      </c>
    </row>
    <row r="145" spans="1:6" x14ac:dyDescent="0.3">
      <c r="A145" t="s">
        <v>48</v>
      </c>
      <c r="B145" t="s">
        <v>7</v>
      </c>
      <c r="C145" t="s">
        <v>8</v>
      </c>
      <c r="D145">
        <v>9</v>
      </c>
      <c r="E145">
        <f>VLOOKUP(B145,Price_List!A:B,2,FALSE)</f>
        <v>18000</v>
      </c>
      <c r="F145">
        <f t="shared" si="2"/>
        <v>162000</v>
      </c>
    </row>
    <row r="146" spans="1:6" x14ac:dyDescent="0.3">
      <c r="A146" t="s">
        <v>48</v>
      </c>
      <c r="B146" t="s">
        <v>26</v>
      </c>
      <c r="C146" t="s">
        <v>18</v>
      </c>
      <c r="D146">
        <v>6</v>
      </c>
      <c r="E146">
        <f>VLOOKUP(B146,Price_List!A:B,2,FALSE)</f>
        <v>2000</v>
      </c>
      <c r="F146">
        <f t="shared" si="2"/>
        <v>12000</v>
      </c>
    </row>
    <row r="147" spans="1:6" x14ac:dyDescent="0.3">
      <c r="A147" t="s">
        <v>49</v>
      </c>
      <c r="B147" t="s">
        <v>20</v>
      </c>
      <c r="C147" t="s">
        <v>13</v>
      </c>
      <c r="D147">
        <v>9</v>
      </c>
      <c r="E147">
        <f>VLOOKUP(B147,Price_List!A:B,2,FALSE)</f>
        <v>25000</v>
      </c>
      <c r="F147">
        <f t="shared" si="2"/>
        <v>225000</v>
      </c>
    </row>
    <row r="148" spans="1:6" x14ac:dyDescent="0.3">
      <c r="A148" t="s">
        <v>49</v>
      </c>
      <c r="B148" t="s">
        <v>12</v>
      </c>
      <c r="C148" t="s">
        <v>13</v>
      </c>
      <c r="D148">
        <v>9</v>
      </c>
      <c r="E148">
        <f>VLOOKUP(B148,Price_List!A:B,2,FALSE)</f>
        <v>5000</v>
      </c>
      <c r="F148">
        <f t="shared" si="2"/>
        <v>45000</v>
      </c>
    </row>
    <row r="149" spans="1:6" x14ac:dyDescent="0.3">
      <c r="A149" t="s">
        <v>49</v>
      </c>
      <c r="B149" t="s">
        <v>17</v>
      </c>
      <c r="C149" t="s">
        <v>18</v>
      </c>
      <c r="D149">
        <v>6</v>
      </c>
      <c r="E149">
        <f>VLOOKUP(B149,Price_List!A:B,2,FALSE)</f>
        <v>7000</v>
      </c>
      <c r="F149">
        <f t="shared" si="2"/>
        <v>42000</v>
      </c>
    </row>
    <row r="150" spans="1:6" x14ac:dyDescent="0.3">
      <c r="A150" t="s">
        <v>49</v>
      </c>
      <c r="B150" t="s">
        <v>23</v>
      </c>
      <c r="C150" t="s">
        <v>18</v>
      </c>
      <c r="D150">
        <v>1</v>
      </c>
      <c r="E150">
        <f>VLOOKUP(B150,Price_List!A:B,2,FALSE)</f>
        <v>5000</v>
      </c>
      <c r="F150">
        <f t="shared" si="2"/>
        <v>5000</v>
      </c>
    </row>
    <row r="151" spans="1:6" x14ac:dyDescent="0.3">
      <c r="A151" t="s">
        <v>49</v>
      </c>
      <c r="B151" t="s">
        <v>12</v>
      </c>
      <c r="C151" t="s">
        <v>13</v>
      </c>
      <c r="D151">
        <v>3</v>
      </c>
      <c r="E151">
        <f>VLOOKUP(B151,Price_List!A:B,2,FALSE)</f>
        <v>5000</v>
      </c>
      <c r="F151">
        <f t="shared" si="2"/>
        <v>15000</v>
      </c>
    </row>
    <row r="152" spans="1:6" x14ac:dyDescent="0.3">
      <c r="A152" t="s">
        <v>50</v>
      </c>
      <c r="B152" t="s">
        <v>15</v>
      </c>
      <c r="C152" t="s">
        <v>8</v>
      </c>
      <c r="D152">
        <v>7</v>
      </c>
      <c r="E152">
        <f>VLOOKUP(B152,Price_List!A:B,2,FALSE)</f>
        <v>30000</v>
      </c>
      <c r="F152">
        <f t="shared" si="2"/>
        <v>210000</v>
      </c>
    </row>
    <row r="153" spans="1:6" x14ac:dyDescent="0.3">
      <c r="A153" t="s">
        <v>50</v>
      </c>
      <c r="B153" t="s">
        <v>17</v>
      </c>
      <c r="C153" t="s">
        <v>18</v>
      </c>
      <c r="D153">
        <v>7</v>
      </c>
      <c r="E153">
        <f>VLOOKUP(B153,Price_List!A:B,2,FALSE)</f>
        <v>7000</v>
      </c>
      <c r="F153">
        <f t="shared" si="2"/>
        <v>49000</v>
      </c>
    </row>
    <row r="154" spans="1:6" x14ac:dyDescent="0.3">
      <c r="A154" t="s">
        <v>50</v>
      </c>
      <c r="B154" t="s">
        <v>12</v>
      </c>
      <c r="C154" t="s">
        <v>13</v>
      </c>
      <c r="D154">
        <v>4</v>
      </c>
      <c r="E154">
        <f>VLOOKUP(B154,Price_List!A:B,2,FALSE)</f>
        <v>5000</v>
      </c>
      <c r="F154">
        <f t="shared" si="2"/>
        <v>20000</v>
      </c>
    </row>
    <row r="155" spans="1:6" x14ac:dyDescent="0.3">
      <c r="A155" t="s">
        <v>50</v>
      </c>
      <c r="B155" t="s">
        <v>12</v>
      </c>
      <c r="C155" t="s">
        <v>13</v>
      </c>
      <c r="D155">
        <v>4</v>
      </c>
      <c r="E155">
        <f>VLOOKUP(B155,Price_List!A:B,2,FALSE)</f>
        <v>5000</v>
      </c>
      <c r="F155">
        <f t="shared" si="2"/>
        <v>20000</v>
      </c>
    </row>
    <row r="156" spans="1:6" x14ac:dyDescent="0.3">
      <c r="A156" t="s">
        <v>50</v>
      </c>
      <c r="B156" t="s">
        <v>26</v>
      </c>
      <c r="C156" t="s">
        <v>18</v>
      </c>
      <c r="D156">
        <v>10</v>
      </c>
      <c r="E156">
        <f>VLOOKUP(B156,Price_List!A:B,2,FALSE)</f>
        <v>2000</v>
      </c>
      <c r="F156">
        <f t="shared" si="2"/>
        <v>20000</v>
      </c>
    </row>
    <row r="157" spans="1:6" x14ac:dyDescent="0.3">
      <c r="A157" t="s">
        <v>51</v>
      </c>
      <c r="B157" t="s">
        <v>10</v>
      </c>
      <c r="C157" t="s">
        <v>11</v>
      </c>
      <c r="D157">
        <v>10</v>
      </c>
      <c r="E157">
        <f>VLOOKUP(B157,Price_List!A:B,2,FALSE)</f>
        <v>3500</v>
      </c>
      <c r="F157">
        <f t="shared" si="2"/>
        <v>35000</v>
      </c>
    </row>
    <row r="158" spans="1:6" x14ac:dyDescent="0.3">
      <c r="A158" t="s">
        <v>51</v>
      </c>
      <c r="B158" t="s">
        <v>26</v>
      </c>
      <c r="C158" t="s">
        <v>18</v>
      </c>
      <c r="D158">
        <v>6</v>
      </c>
      <c r="E158">
        <f>VLOOKUP(B158,Price_List!A:B,2,FALSE)</f>
        <v>2000</v>
      </c>
      <c r="F158">
        <f t="shared" si="2"/>
        <v>12000</v>
      </c>
    </row>
    <row r="159" spans="1:6" x14ac:dyDescent="0.3">
      <c r="A159" t="s">
        <v>51</v>
      </c>
      <c r="B159" t="s">
        <v>17</v>
      </c>
      <c r="C159" t="s">
        <v>18</v>
      </c>
      <c r="D159">
        <v>9</v>
      </c>
      <c r="E159">
        <f>VLOOKUP(B159,Price_List!A:B,2,FALSE)</f>
        <v>7000</v>
      </c>
      <c r="F159">
        <f t="shared" si="2"/>
        <v>63000</v>
      </c>
    </row>
    <row r="160" spans="1:6" x14ac:dyDescent="0.3">
      <c r="A160" t="s">
        <v>51</v>
      </c>
      <c r="B160" t="s">
        <v>15</v>
      </c>
      <c r="C160" t="s">
        <v>8</v>
      </c>
      <c r="D160">
        <v>5</v>
      </c>
      <c r="E160">
        <f>VLOOKUP(B160,Price_List!A:B,2,FALSE)</f>
        <v>30000</v>
      </c>
      <c r="F160">
        <f t="shared" si="2"/>
        <v>150000</v>
      </c>
    </row>
    <row r="161" spans="1:6" x14ac:dyDescent="0.3">
      <c r="A161" t="s">
        <v>51</v>
      </c>
      <c r="B161" t="s">
        <v>10</v>
      </c>
      <c r="C161" t="s">
        <v>11</v>
      </c>
      <c r="D161">
        <v>3</v>
      </c>
      <c r="E161">
        <f>VLOOKUP(B161,Price_List!A:B,2,FALSE)</f>
        <v>3500</v>
      </c>
      <c r="F161">
        <f t="shared" si="2"/>
        <v>10500</v>
      </c>
    </row>
    <row r="162" spans="1:6" x14ac:dyDescent="0.3">
      <c r="A162" t="s">
        <v>52</v>
      </c>
      <c r="B162" t="s">
        <v>15</v>
      </c>
      <c r="C162" t="s">
        <v>8</v>
      </c>
      <c r="D162">
        <v>1</v>
      </c>
      <c r="E162">
        <f>VLOOKUP(B162,Price_List!A:B,2,FALSE)</f>
        <v>30000</v>
      </c>
      <c r="F162">
        <f t="shared" si="2"/>
        <v>30000</v>
      </c>
    </row>
    <row r="163" spans="1:6" x14ac:dyDescent="0.3">
      <c r="A163" t="s">
        <v>52</v>
      </c>
      <c r="B163" t="s">
        <v>16</v>
      </c>
      <c r="C163" t="s">
        <v>8</v>
      </c>
      <c r="D163">
        <v>9</v>
      </c>
      <c r="E163">
        <f>VLOOKUP(B163,Price_List!A:B,2,FALSE)</f>
        <v>14000</v>
      </c>
      <c r="F163">
        <f t="shared" si="2"/>
        <v>126000</v>
      </c>
    </row>
    <row r="164" spans="1:6" x14ac:dyDescent="0.3">
      <c r="A164" t="s">
        <v>52</v>
      </c>
      <c r="B164" t="s">
        <v>17</v>
      </c>
      <c r="C164" t="s">
        <v>18</v>
      </c>
      <c r="D164">
        <v>6</v>
      </c>
      <c r="E164">
        <f>VLOOKUP(B164,Price_List!A:B,2,FALSE)</f>
        <v>7000</v>
      </c>
      <c r="F164">
        <f t="shared" si="2"/>
        <v>42000</v>
      </c>
    </row>
    <row r="165" spans="1:6" x14ac:dyDescent="0.3">
      <c r="A165" t="s">
        <v>52</v>
      </c>
      <c r="B165" t="s">
        <v>10</v>
      </c>
      <c r="C165" t="s">
        <v>11</v>
      </c>
      <c r="D165">
        <v>1</v>
      </c>
      <c r="E165">
        <f>VLOOKUP(B165,Price_List!A:B,2,FALSE)</f>
        <v>3500</v>
      </c>
      <c r="F165">
        <f t="shared" si="2"/>
        <v>3500</v>
      </c>
    </row>
    <row r="166" spans="1:6" x14ac:dyDescent="0.3">
      <c r="A166" t="s">
        <v>52</v>
      </c>
      <c r="B166" t="s">
        <v>16</v>
      </c>
      <c r="C166" t="s">
        <v>8</v>
      </c>
      <c r="D166">
        <v>10</v>
      </c>
      <c r="E166">
        <f>VLOOKUP(B166,Price_List!A:B,2,FALSE)</f>
        <v>14000</v>
      </c>
      <c r="F166">
        <f t="shared" si="2"/>
        <v>140000</v>
      </c>
    </row>
    <row r="167" spans="1:6" x14ac:dyDescent="0.3">
      <c r="A167" t="s">
        <v>53</v>
      </c>
      <c r="B167" t="s">
        <v>15</v>
      </c>
      <c r="C167" t="s">
        <v>8</v>
      </c>
      <c r="D167">
        <v>3</v>
      </c>
      <c r="E167">
        <f>VLOOKUP(B167,Price_List!A:B,2,FALSE)</f>
        <v>30000</v>
      </c>
      <c r="F167">
        <f t="shared" si="2"/>
        <v>90000</v>
      </c>
    </row>
    <row r="168" spans="1:6" x14ac:dyDescent="0.3">
      <c r="A168" t="s">
        <v>53</v>
      </c>
      <c r="B168" t="s">
        <v>16</v>
      </c>
      <c r="C168" t="s">
        <v>8</v>
      </c>
      <c r="D168">
        <v>6</v>
      </c>
      <c r="E168">
        <f>VLOOKUP(B168,Price_List!A:B,2,FALSE)</f>
        <v>14000</v>
      </c>
      <c r="F168">
        <f t="shared" si="2"/>
        <v>84000</v>
      </c>
    </row>
    <row r="169" spans="1:6" x14ac:dyDescent="0.3">
      <c r="A169" t="s">
        <v>53</v>
      </c>
      <c r="B169" t="s">
        <v>12</v>
      </c>
      <c r="C169" t="s">
        <v>13</v>
      </c>
      <c r="D169">
        <v>9</v>
      </c>
      <c r="E169">
        <f>VLOOKUP(B169,Price_List!A:B,2,FALSE)</f>
        <v>5000</v>
      </c>
      <c r="F169">
        <f t="shared" si="2"/>
        <v>45000</v>
      </c>
    </row>
    <row r="170" spans="1:6" x14ac:dyDescent="0.3">
      <c r="A170" t="s">
        <v>53</v>
      </c>
      <c r="B170" t="s">
        <v>17</v>
      </c>
      <c r="C170" t="s">
        <v>18</v>
      </c>
      <c r="D170">
        <v>3</v>
      </c>
      <c r="E170">
        <f>VLOOKUP(B170,Price_List!A:B,2,FALSE)</f>
        <v>7000</v>
      </c>
      <c r="F170">
        <f t="shared" si="2"/>
        <v>21000</v>
      </c>
    </row>
    <row r="171" spans="1:6" x14ac:dyDescent="0.3">
      <c r="A171" t="s">
        <v>53</v>
      </c>
      <c r="B171" t="s">
        <v>23</v>
      </c>
      <c r="C171" t="s">
        <v>18</v>
      </c>
      <c r="D171">
        <v>2</v>
      </c>
      <c r="E171">
        <f>VLOOKUP(B171,Price_List!A:B,2,FALSE)</f>
        <v>5000</v>
      </c>
      <c r="F171">
        <f t="shared" si="2"/>
        <v>10000</v>
      </c>
    </row>
    <row r="172" spans="1:6" x14ac:dyDescent="0.3">
      <c r="A172" t="s">
        <v>54</v>
      </c>
      <c r="B172" t="s">
        <v>10</v>
      </c>
      <c r="C172" t="s">
        <v>11</v>
      </c>
      <c r="D172">
        <v>8</v>
      </c>
      <c r="E172">
        <f>VLOOKUP(B172,Price_List!A:B,2,FALSE)</f>
        <v>3500</v>
      </c>
      <c r="F172">
        <f t="shared" si="2"/>
        <v>28000</v>
      </c>
    </row>
    <row r="173" spans="1:6" x14ac:dyDescent="0.3">
      <c r="A173" t="s">
        <v>54</v>
      </c>
      <c r="B173" t="s">
        <v>23</v>
      </c>
      <c r="C173" t="s">
        <v>18</v>
      </c>
      <c r="D173">
        <v>9</v>
      </c>
      <c r="E173">
        <f>VLOOKUP(B173,Price_List!A:B,2,FALSE)</f>
        <v>5000</v>
      </c>
      <c r="F173">
        <f t="shared" si="2"/>
        <v>45000</v>
      </c>
    </row>
    <row r="174" spans="1:6" x14ac:dyDescent="0.3">
      <c r="A174" t="s">
        <v>54</v>
      </c>
      <c r="B174" t="s">
        <v>17</v>
      </c>
      <c r="C174" t="s">
        <v>18</v>
      </c>
      <c r="D174">
        <v>6</v>
      </c>
      <c r="E174">
        <f>VLOOKUP(B174,Price_List!A:B,2,FALSE)</f>
        <v>7000</v>
      </c>
      <c r="F174">
        <f t="shared" si="2"/>
        <v>42000</v>
      </c>
    </row>
    <row r="175" spans="1:6" x14ac:dyDescent="0.3">
      <c r="A175" t="s">
        <v>54</v>
      </c>
      <c r="B175" t="s">
        <v>26</v>
      </c>
      <c r="C175" t="s">
        <v>18</v>
      </c>
      <c r="D175">
        <v>6</v>
      </c>
      <c r="E175">
        <f>VLOOKUP(B175,Price_List!A:B,2,FALSE)</f>
        <v>2000</v>
      </c>
      <c r="F175">
        <f t="shared" si="2"/>
        <v>12000</v>
      </c>
    </row>
    <row r="176" spans="1:6" x14ac:dyDescent="0.3">
      <c r="A176" t="s">
        <v>54</v>
      </c>
      <c r="B176" t="s">
        <v>16</v>
      </c>
      <c r="C176" t="s">
        <v>8</v>
      </c>
      <c r="D176">
        <v>4</v>
      </c>
      <c r="E176">
        <f>VLOOKUP(B176,Price_List!A:B,2,FALSE)</f>
        <v>14000</v>
      </c>
      <c r="F176">
        <f t="shared" si="2"/>
        <v>56000</v>
      </c>
    </row>
    <row r="177" spans="1:6" x14ac:dyDescent="0.3">
      <c r="A177" t="s">
        <v>55</v>
      </c>
      <c r="B177" t="s">
        <v>7</v>
      </c>
      <c r="C177" t="s">
        <v>8</v>
      </c>
      <c r="D177">
        <v>4</v>
      </c>
      <c r="E177">
        <f>VLOOKUP(B177,Price_List!A:B,2,FALSE)</f>
        <v>18000</v>
      </c>
      <c r="F177">
        <f t="shared" si="2"/>
        <v>72000</v>
      </c>
    </row>
    <row r="178" spans="1:6" x14ac:dyDescent="0.3">
      <c r="A178" t="s">
        <v>55</v>
      </c>
      <c r="B178" t="s">
        <v>23</v>
      </c>
      <c r="C178" t="s">
        <v>18</v>
      </c>
      <c r="D178">
        <v>9</v>
      </c>
      <c r="E178">
        <f>VLOOKUP(B178,Price_List!A:B,2,FALSE)</f>
        <v>5000</v>
      </c>
      <c r="F178">
        <f t="shared" si="2"/>
        <v>45000</v>
      </c>
    </row>
    <row r="179" spans="1:6" x14ac:dyDescent="0.3">
      <c r="A179" t="s">
        <v>55</v>
      </c>
      <c r="B179" t="s">
        <v>10</v>
      </c>
      <c r="C179" t="s">
        <v>11</v>
      </c>
      <c r="D179">
        <v>2</v>
      </c>
      <c r="E179">
        <f>VLOOKUP(B179,Price_List!A:B,2,FALSE)</f>
        <v>3500</v>
      </c>
      <c r="F179">
        <f t="shared" si="2"/>
        <v>7000</v>
      </c>
    </row>
    <row r="180" spans="1:6" x14ac:dyDescent="0.3">
      <c r="A180" t="s">
        <v>55</v>
      </c>
      <c r="B180" t="s">
        <v>15</v>
      </c>
      <c r="C180" t="s">
        <v>8</v>
      </c>
      <c r="D180">
        <v>3</v>
      </c>
      <c r="E180">
        <f>VLOOKUP(B180,Price_List!A:B,2,FALSE)</f>
        <v>30000</v>
      </c>
      <c r="F180">
        <f t="shared" si="2"/>
        <v>90000</v>
      </c>
    </row>
    <row r="181" spans="1:6" x14ac:dyDescent="0.3">
      <c r="A181" t="s">
        <v>55</v>
      </c>
      <c r="B181" t="s">
        <v>16</v>
      </c>
      <c r="C181" t="s">
        <v>8</v>
      </c>
      <c r="D181">
        <v>3</v>
      </c>
      <c r="E181">
        <f>VLOOKUP(B181,Price_List!A:B,2,FALSE)</f>
        <v>14000</v>
      </c>
      <c r="F181">
        <f t="shared" si="2"/>
        <v>42000</v>
      </c>
    </row>
    <row r="182" spans="1:6" x14ac:dyDescent="0.3">
      <c r="A182" t="s">
        <v>56</v>
      </c>
      <c r="B182" t="s">
        <v>9</v>
      </c>
      <c r="C182" t="s">
        <v>8</v>
      </c>
      <c r="D182">
        <v>5</v>
      </c>
      <c r="E182">
        <f>VLOOKUP(B182,Price_List!A:B,2,FALSE)</f>
        <v>75000</v>
      </c>
      <c r="F182">
        <f t="shared" si="2"/>
        <v>375000</v>
      </c>
    </row>
    <row r="183" spans="1:6" x14ac:dyDescent="0.3">
      <c r="A183" t="s">
        <v>56</v>
      </c>
      <c r="B183" t="s">
        <v>12</v>
      </c>
      <c r="C183" t="s">
        <v>13</v>
      </c>
      <c r="D183">
        <v>6</v>
      </c>
      <c r="E183">
        <f>VLOOKUP(B183,Price_List!A:B,2,FALSE)</f>
        <v>5000</v>
      </c>
      <c r="F183">
        <f t="shared" si="2"/>
        <v>30000</v>
      </c>
    </row>
    <row r="184" spans="1:6" x14ac:dyDescent="0.3">
      <c r="A184" t="s">
        <v>56</v>
      </c>
      <c r="B184" t="s">
        <v>10</v>
      </c>
      <c r="C184" t="s">
        <v>11</v>
      </c>
      <c r="D184">
        <v>5</v>
      </c>
      <c r="E184">
        <f>VLOOKUP(B184,Price_List!A:B,2,FALSE)</f>
        <v>3500</v>
      </c>
      <c r="F184">
        <f t="shared" si="2"/>
        <v>17500</v>
      </c>
    </row>
    <row r="185" spans="1:6" x14ac:dyDescent="0.3">
      <c r="A185" t="s">
        <v>56</v>
      </c>
      <c r="B185" t="s">
        <v>15</v>
      </c>
      <c r="C185" t="s">
        <v>8</v>
      </c>
      <c r="D185">
        <v>8</v>
      </c>
      <c r="E185">
        <f>VLOOKUP(B185,Price_List!A:B,2,FALSE)</f>
        <v>30000</v>
      </c>
      <c r="F185">
        <f t="shared" si="2"/>
        <v>240000</v>
      </c>
    </row>
    <row r="186" spans="1:6" x14ac:dyDescent="0.3">
      <c r="A186" t="s">
        <v>56</v>
      </c>
      <c r="B186" t="s">
        <v>20</v>
      </c>
      <c r="C186" t="s">
        <v>13</v>
      </c>
      <c r="D186">
        <v>1</v>
      </c>
      <c r="E186">
        <f>VLOOKUP(B186,Price_List!A:B,2,FALSE)</f>
        <v>25000</v>
      </c>
      <c r="F186">
        <f t="shared" si="2"/>
        <v>25000</v>
      </c>
    </row>
    <row r="187" spans="1:6" x14ac:dyDescent="0.3">
      <c r="A187" t="s">
        <v>57</v>
      </c>
      <c r="B187" t="s">
        <v>16</v>
      </c>
      <c r="C187" t="s">
        <v>8</v>
      </c>
      <c r="D187">
        <v>1</v>
      </c>
      <c r="E187">
        <f>VLOOKUP(B187,Price_List!A:B,2,FALSE)</f>
        <v>14000</v>
      </c>
      <c r="F187">
        <f t="shared" si="2"/>
        <v>14000</v>
      </c>
    </row>
    <row r="188" spans="1:6" x14ac:dyDescent="0.3">
      <c r="A188" t="s">
        <v>57</v>
      </c>
      <c r="B188" t="s">
        <v>26</v>
      </c>
      <c r="C188" t="s">
        <v>18</v>
      </c>
      <c r="D188">
        <v>2</v>
      </c>
      <c r="E188">
        <f>VLOOKUP(B188,Price_List!A:B,2,FALSE)</f>
        <v>2000</v>
      </c>
      <c r="F188">
        <f t="shared" si="2"/>
        <v>4000</v>
      </c>
    </row>
    <row r="189" spans="1:6" x14ac:dyDescent="0.3">
      <c r="A189" t="s">
        <v>57</v>
      </c>
      <c r="B189" t="s">
        <v>15</v>
      </c>
      <c r="C189" t="s">
        <v>8</v>
      </c>
      <c r="D189">
        <v>9</v>
      </c>
      <c r="E189">
        <f>VLOOKUP(B189,Price_List!A:B,2,FALSE)</f>
        <v>30000</v>
      </c>
      <c r="F189">
        <f t="shared" si="2"/>
        <v>270000</v>
      </c>
    </row>
    <row r="190" spans="1:6" x14ac:dyDescent="0.3">
      <c r="A190" t="s">
        <v>57</v>
      </c>
      <c r="B190" t="s">
        <v>12</v>
      </c>
      <c r="C190" t="s">
        <v>13</v>
      </c>
      <c r="D190">
        <v>5</v>
      </c>
      <c r="E190">
        <f>VLOOKUP(B190,Price_List!A:B,2,FALSE)</f>
        <v>5000</v>
      </c>
      <c r="F190">
        <f t="shared" si="2"/>
        <v>25000</v>
      </c>
    </row>
    <row r="191" spans="1:6" x14ac:dyDescent="0.3">
      <c r="A191" t="s">
        <v>57</v>
      </c>
      <c r="B191" t="s">
        <v>7</v>
      </c>
      <c r="C191" t="s">
        <v>8</v>
      </c>
      <c r="D191">
        <v>2</v>
      </c>
      <c r="E191">
        <f>VLOOKUP(B191,Price_List!A:B,2,FALSE)</f>
        <v>18000</v>
      </c>
      <c r="F191">
        <f t="shared" si="2"/>
        <v>36000</v>
      </c>
    </row>
    <row r="192" spans="1:6" x14ac:dyDescent="0.3">
      <c r="A192" t="s">
        <v>58</v>
      </c>
      <c r="B192" t="s">
        <v>12</v>
      </c>
      <c r="C192" t="s">
        <v>13</v>
      </c>
      <c r="D192">
        <v>2</v>
      </c>
      <c r="E192">
        <f>VLOOKUP(B192,Price_List!A:B,2,FALSE)</f>
        <v>5000</v>
      </c>
      <c r="F192">
        <f t="shared" si="2"/>
        <v>10000</v>
      </c>
    </row>
    <row r="193" spans="1:6" x14ac:dyDescent="0.3">
      <c r="A193" t="s">
        <v>58</v>
      </c>
      <c r="B193" t="s">
        <v>26</v>
      </c>
      <c r="C193" t="s">
        <v>18</v>
      </c>
      <c r="D193">
        <v>8</v>
      </c>
      <c r="E193">
        <f>VLOOKUP(B193,Price_List!A:B,2,FALSE)</f>
        <v>2000</v>
      </c>
      <c r="F193">
        <f t="shared" si="2"/>
        <v>16000</v>
      </c>
    </row>
    <row r="194" spans="1:6" x14ac:dyDescent="0.3">
      <c r="A194" t="s">
        <v>58</v>
      </c>
      <c r="B194" t="s">
        <v>10</v>
      </c>
      <c r="C194" t="s">
        <v>11</v>
      </c>
      <c r="D194">
        <v>1</v>
      </c>
      <c r="E194">
        <f>VLOOKUP(B194,Price_List!A:B,2,FALSE)</f>
        <v>3500</v>
      </c>
      <c r="F194">
        <f t="shared" si="2"/>
        <v>3500</v>
      </c>
    </row>
    <row r="195" spans="1:6" x14ac:dyDescent="0.3">
      <c r="A195" t="s">
        <v>58</v>
      </c>
      <c r="B195" t="s">
        <v>23</v>
      </c>
      <c r="C195" t="s">
        <v>18</v>
      </c>
      <c r="D195">
        <v>4</v>
      </c>
      <c r="E195">
        <f>VLOOKUP(B195,Price_List!A:B,2,FALSE)</f>
        <v>5000</v>
      </c>
      <c r="F195">
        <f t="shared" ref="F195:F201" si="3">D195*E195</f>
        <v>20000</v>
      </c>
    </row>
    <row r="196" spans="1:6" x14ac:dyDescent="0.3">
      <c r="A196" t="s">
        <v>58</v>
      </c>
      <c r="B196" t="s">
        <v>26</v>
      </c>
      <c r="C196" t="s">
        <v>18</v>
      </c>
      <c r="D196">
        <v>9</v>
      </c>
      <c r="E196">
        <f>VLOOKUP(B196,Price_List!A:B,2,FALSE)</f>
        <v>2000</v>
      </c>
      <c r="F196">
        <f t="shared" si="3"/>
        <v>18000</v>
      </c>
    </row>
    <row r="197" spans="1:6" x14ac:dyDescent="0.3">
      <c r="A197" t="s">
        <v>59</v>
      </c>
      <c r="B197" t="s">
        <v>16</v>
      </c>
      <c r="C197" t="s">
        <v>8</v>
      </c>
      <c r="D197">
        <v>6</v>
      </c>
      <c r="E197">
        <f>VLOOKUP(B197,Price_List!A:B,2,FALSE)</f>
        <v>14000</v>
      </c>
      <c r="F197">
        <f t="shared" si="3"/>
        <v>84000</v>
      </c>
    </row>
    <row r="198" spans="1:6" x14ac:dyDescent="0.3">
      <c r="A198" t="s">
        <v>59</v>
      </c>
      <c r="B198" t="s">
        <v>10</v>
      </c>
      <c r="C198" t="s">
        <v>11</v>
      </c>
      <c r="D198">
        <v>9</v>
      </c>
      <c r="E198">
        <f>VLOOKUP(B198,Price_List!A:B,2,FALSE)</f>
        <v>3500</v>
      </c>
      <c r="F198">
        <f t="shared" si="3"/>
        <v>31500</v>
      </c>
    </row>
    <row r="199" spans="1:6" x14ac:dyDescent="0.3">
      <c r="A199" t="s">
        <v>59</v>
      </c>
      <c r="B199" t="s">
        <v>12</v>
      </c>
      <c r="C199" t="s">
        <v>13</v>
      </c>
      <c r="D199">
        <v>7</v>
      </c>
      <c r="E199">
        <f>VLOOKUP(B199,Price_List!A:B,2,FALSE)</f>
        <v>5000</v>
      </c>
      <c r="F199">
        <f t="shared" si="3"/>
        <v>35000</v>
      </c>
    </row>
    <row r="200" spans="1:6" x14ac:dyDescent="0.3">
      <c r="A200" t="s">
        <v>59</v>
      </c>
      <c r="B200" t="s">
        <v>23</v>
      </c>
      <c r="C200" t="s">
        <v>18</v>
      </c>
      <c r="D200">
        <v>6</v>
      </c>
      <c r="E200">
        <f>VLOOKUP(B200,Price_List!A:B,2,FALSE)</f>
        <v>5000</v>
      </c>
      <c r="F200">
        <f t="shared" si="3"/>
        <v>30000</v>
      </c>
    </row>
    <row r="201" spans="1:6" x14ac:dyDescent="0.3">
      <c r="A201" t="s">
        <v>59</v>
      </c>
      <c r="B201" t="s">
        <v>23</v>
      </c>
      <c r="C201" t="s">
        <v>18</v>
      </c>
      <c r="D201">
        <v>3</v>
      </c>
      <c r="E201">
        <f>VLOOKUP(B201,Price_List!A:B,2,FALSE)</f>
        <v>5000</v>
      </c>
      <c r="F201">
        <f t="shared" si="3"/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9</v>
      </c>
      <c r="B2">
        <v>75000</v>
      </c>
    </row>
    <row r="3" spans="1:2" x14ac:dyDescent="0.3">
      <c r="A3" t="s">
        <v>16</v>
      </c>
      <c r="B3">
        <v>14000</v>
      </c>
    </row>
    <row r="4" spans="1:2" x14ac:dyDescent="0.3">
      <c r="A4" t="s">
        <v>7</v>
      </c>
      <c r="B4">
        <v>18000</v>
      </c>
    </row>
    <row r="5" spans="1:2" x14ac:dyDescent="0.3">
      <c r="A5" t="s">
        <v>15</v>
      </c>
      <c r="B5">
        <v>30000</v>
      </c>
    </row>
    <row r="6" spans="1:2" x14ac:dyDescent="0.3">
      <c r="A6" t="s">
        <v>10</v>
      </c>
      <c r="B6">
        <v>3500</v>
      </c>
    </row>
    <row r="7" spans="1:2" x14ac:dyDescent="0.3">
      <c r="A7" t="s">
        <v>17</v>
      </c>
      <c r="B7">
        <v>7000</v>
      </c>
    </row>
    <row r="8" spans="1:2" x14ac:dyDescent="0.3">
      <c r="A8" t="s">
        <v>26</v>
      </c>
      <c r="B8">
        <v>2000</v>
      </c>
    </row>
    <row r="9" spans="1:2" x14ac:dyDescent="0.3">
      <c r="A9" t="s">
        <v>23</v>
      </c>
      <c r="B9">
        <v>5000</v>
      </c>
    </row>
    <row r="10" spans="1:2" x14ac:dyDescent="0.3">
      <c r="A10" t="s">
        <v>20</v>
      </c>
      <c r="B10">
        <v>25000</v>
      </c>
    </row>
    <row r="11" spans="1:2" x14ac:dyDescent="0.3">
      <c r="A11" t="s">
        <v>12</v>
      </c>
      <c r="B11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0.21875" bestFit="1" customWidth="1"/>
    <col min="2" max="2" width="9" bestFit="1" customWidth="1"/>
  </cols>
  <sheetData>
    <row r="1" spans="1:2" x14ac:dyDescent="0.3">
      <c r="A1" t="s">
        <v>60</v>
      </c>
      <c r="B1" t="s">
        <v>61</v>
      </c>
    </row>
    <row r="2" spans="1:2" x14ac:dyDescent="0.3">
      <c r="A2" t="s">
        <v>62</v>
      </c>
      <c r="B2">
        <f>SUM(Sales_Data!F2:F201)</f>
        <v>18565500</v>
      </c>
    </row>
    <row r="3" spans="1:2" x14ac:dyDescent="0.3">
      <c r="A3" t="s">
        <v>63</v>
      </c>
      <c r="B3">
        <v>5000000</v>
      </c>
    </row>
    <row r="4" spans="1:2" x14ac:dyDescent="0.3">
      <c r="A4" t="s">
        <v>64</v>
      </c>
      <c r="B4">
        <f>B2-B3</f>
        <v>13565500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Price_List</vt:lpstr>
      <vt:lpstr>Financial_Report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Adhi Suryo Nugroho</cp:lastModifiedBy>
  <dcterms:created xsi:type="dcterms:W3CDTF">2026-04-13T02:29:23Z</dcterms:created>
  <dcterms:modified xsi:type="dcterms:W3CDTF">2026-04-13T02:43:51Z</dcterms:modified>
</cp:coreProperties>
</file>