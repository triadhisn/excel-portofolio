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Tri Adhi\OneDrive\Documents\Data Entry\Portofolio\"/>
    </mc:Choice>
  </mc:AlternateContent>
  <xr:revisionPtr revIDLastSave="0" documentId="13_ncr:1_{8B40968F-6964-4D11-A3DD-398D868ADBF5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Pivot Table" sheetId="2" r:id="rId1"/>
    <sheet name="Data_1" sheetId="1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F203" i="1"/>
  <c r="F202" i="1"/>
</calcChain>
</file>

<file path=xl/sharedStrings.xml><?xml version="1.0" encoding="utf-8"?>
<sst xmlns="http://schemas.openxmlformats.org/spreadsheetml/2006/main" count="641" uniqueCount="71">
  <si>
    <t>Tanggal</t>
  </si>
  <si>
    <t>Nama Produk</t>
  </si>
  <si>
    <t>Kategori</t>
  </si>
  <si>
    <t>Qty</t>
  </si>
  <si>
    <t>Harga Satuan</t>
  </si>
  <si>
    <t>Total</t>
  </si>
  <si>
    <t>2025-01-01</t>
  </si>
  <si>
    <t>Minyak Goreng 1L</t>
  </si>
  <si>
    <t>Sembako</t>
  </si>
  <si>
    <t>Roti Tawar</t>
  </si>
  <si>
    <t>Makanan</t>
  </si>
  <si>
    <t>Air Mineral 600ml</t>
  </si>
  <si>
    <t>Minuman</t>
  </si>
  <si>
    <t>Beras 5kg</t>
  </si>
  <si>
    <t>Shampoo</t>
  </si>
  <si>
    <t>Toiletries</t>
  </si>
  <si>
    <t>2025-01-02</t>
  </si>
  <si>
    <t>Sabun Mandi</t>
  </si>
  <si>
    <t>Susu UHT</t>
  </si>
  <si>
    <t>2025-01-03</t>
  </si>
  <si>
    <t>Mie Instan</t>
  </si>
  <si>
    <t>Telur 1kg</t>
  </si>
  <si>
    <t>Detergen 1kg</t>
  </si>
  <si>
    <t>2025-01-04</t>
  </si>
  <si>
    <t>Teh Celup</t>
  </si>
  <si>
    <t>Gula 1kg</t>
  </si>
  <si>
    <t>2025-01-05</t>
  </si>
  <si>
    <t>2025-01-06</t>
  </si>
  <si>
    <t>2025-01-07</t>
  </si>
  <si>
    <t>Kopi Sachet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</si>
  <si>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</si>
  <si>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</si>
  <si>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</si>
  <si>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</si>
  <si>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</si>
  <si>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</si>
  <si>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</si>
  <si>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Pasta Gigi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</si>
  <si>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</si>
  <si>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</si>
  <si>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</si>
  <si>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</si>
  <si>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</si>
  <si>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</si>
  <si>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</si>
  <si>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</si>
  <si>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</si>
  <si>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</si>
  <si>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</si>
  <si>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</si>
  <si>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</si>
  <si>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</si>
  <si>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</si>
  <si>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</si>
  <si>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</si>
  <si>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</si>
  <si>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</si>
  <si>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</si>
  <si>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</si>
  <si>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</si>
  <si>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</si>
  <si>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</si>
  <si>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</si>
  <si>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</si>
  <si>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Column1</t>
  </si>
  <si>
    <t>Average</t>
  </si>
  <si>
    <t>Row Labels</t>
  </si>
  <si>
    <t>Grand Total</t>
  </si>
  <si>
    <t>Sum of Qty</t>
  </si>
  <si>
    <t>Sum of Harga Satuan</t>
  </si>
  <si>
    <t>Sum of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</si>
</sst>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/>
      <bottom style="thin">
        <color theme="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2" borderId="3" xfId="0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2" borderId="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2" xfId="0" applyFill="1" applyBorder="1" applyAlignment="1">
      <alignment horizontal="center"/>
    </xf>
  </cellXfs>
  <cellStyles count="1">
    <cellStyle name="Normal" xfId="0" builtinId="0"/>
  </cellStyles>
  <dxfs count="7">
    <dxf>
      <numFmt numFmtId="0" formatCode="General"/>
    </dxf>
    <dxf>
      <border diagonalUp="0" diagonalDown="0" outline="0">
        <left/>
        <right style="thin">
          <color theme="0"/>
        </right>
        <top/>
        <bottom/>
      </border>
    </dxf>
    <dxf>
      <border diagonalUp="0" diagonalDown="0" outline="0">
        <left/>
        <right/>
        <top/>
        <bottom style="thin">
          <color theme="0"/>
        </bottom>
      </border>
    </dxf>
    <dxf>
      <border diagonalUp="0" diagonalDown="0" outline="0">
        <left/>
        <right/>
        <top/>
        <bottom style="thin">
          <color theme="0"/>
        </bottom>
      </border>
    </dxf>
    <dxf>
      <border diagonalUp="0" diagonalDown="0" outline="0">
        <left/>
        <right/>
        <top/>
        <bottom style="thin">
          <color theme="0"/>
        </bottom>
      </border>
    </dxf>
    <dxf>
      <border diagonalUp="0" diagonalDown="0" outline="0">
        <left/>
        <right/>
        <top/>
        <bottom style="thin">
          <color theme="0"/>
        </bottom>
      </border>
    </dxf>
    <dxf>
      <border diagonalUp="0" diagonalDown="0" outline="0">
        <left/>
        <right/>
        <top/>
        <bottom style="thin">
          <color theme="0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[Portofolio 2.xlsx]Pivot Table!PivotTable1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Sum of Qty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'Pivot Table'!$A$4:$A$32</c:f>
              <c:multiLvlStrCache>
                <c:ptCount val="14"/>
                <c:lvl>
                  <c:pt idx="0">
                    <c:v>Minuman</c:v>
                  </c:pt>
                  <c:pt idx="1">
                    <c:v>Sembako</c:v>
                  </c:pt>
                  <c:pt idx="2">
                    <c:v>Toiletries</c:v>
                  </c:pt>
                  <c:pt idx="3">
                    <c:v>Sembako</c:v>
                  </c:pt>
                  <c:pt idx="4">
                    <c:v>Minuman</c:v>
                  </c:pt>
                  <c:pt idx="5">
                    <c:v>Makanan</c:v>
                  </c:pt>
                  <c:pt idx="6">
                    <c:v>Sembako</c:v>
                  </c:pt>
                  <c:pt idx="7">
                    <c:v>Toiletries</c:v>
                  </c:pt>
                  <c:pt idx="8">
                    <c:v>Makanan</c:v>
                  </c:pt>
                  <c:pt idx="9">
                    <c:v>Toiletries</c:v>
                  </c:pt>
                  <c:pt idx="10">
                    <c:v>Toiletries</c:v>
                  </c:pt>
                  <c:pt idx="11">
                    <c:v>Minuman</c:v>
                  </c:pt>
                  <c:pt idx="12">
                    <c:v>Minuman</c:v>
                  </c:pt>
                  <c:pt idx="13">
                    <c:v>Sembako</c:v>
                  </c:pt>
                </c:lvl>
                <c:lvl>
                  <c:pt idx="0">
                    <c:v>Air Mineral 600ml</c:v>
                  </c:pt>
                  <c:pt idx="1">
                    <c:v>Beras 5kg</c:v>
                  </c:pt>
                  <c:pt idx="2">
                    <c:v>Detergen 1kg</c:v>
                  </c:pt>
                  <c:pt idx="3">
                    <c:v>Gula 1kg</c:v>
                  </c:pt>
                  <c:pt idx="4">
                    <c:v>Kopi Sachet</c:v>
                  </c:pt>
                  <c:pt idx="5">
                    <c:v>Mie Instan</c:v>
                  </c:pt>
                  <c:pt idx="6">
                    <c:v>Minyak Goreng 1L</c:v>
                  </c:pt>
                  <c:pt idx="7">
                    <c:v>Pasta Gigi</c:v>
                  </c:pt>
                  <c:pt idx="8">
                    <c:v>Roti Tawar</c:v>
                  </c:pt>
                  <c:pt idx="9">
                    <c:v>Sabun Mandi</c:v>
                  </c:pt>
                  <c:pt idx="10">
                    <c:v>Shampoo</c:v>
                  </c:pt>
                  <c:pt idx="11">
                    <c:v>Susu UHT</c:v>
                  </c:pt>
                  <c:pt idx="12">
                    <c:v>Teh Celup</c:v>
                  </c:pt>
                  <c:pt idx="13">
                    <c:v>Telur 1kg</c:v>
                  </c:pt>
                </c:lvl>
              </c:multiLvlStrCache>
            </c:multiLvlStrRef>
          </c:cat>
          <c:val>
            <c:numRef>
              <c:f>'Pivot Table'!$B$4:$B$32</c:f>
              <c:numCache>
                <c:formatCode>General</c:formatCode>
                <c:ptCount val="14"/>
                <c:pt idx="0">
                  <c:v>105</c:v>
                </c:pt>
                <c:pt idx="1">
                  <c:v>62</c:v>
                </c:pt>
                <c:pt idx="2">
                  <c:v>136</c:v>
                </c:pt>
                <c:pt idx="3">
                  <c:v>144</c:v>
                </c:pt>
                <c:pt idx="4">
                  <c:v>91</c:v>
                </c:pt>
                <c:pt idx="5">
                  <c:v>125</c:v>
                </c:pt>
                <c:pt idx="6">
                  <c:v>93</c:v>
                </c:pt>
                <c:pt idx="7">
                  <c:v>85</c:v>
                </c:pt>
                <c:pt idx="8">
                  <c:v>115</c:v>
                </c:pt>
                <c:pt idx="9">
                  <c:v>145</c:v>
                </c:pt>
                <c:pt idx="10">
                  <c:v>129</c:v>
                </c:pt>
                <c:pt idx="11">
                  <c:v>138</c:v>
                </c:pt>
                <c:pt idx="12">
                  <c:v>152</c:v>
                </c:pt>
                <c:pt idx="13">
                  <c:v>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F5B-4BF1-9656-1DC3A20BA9C6}"/>
            </c:ext>
          </c:extLst>
        </c:ser>
        <c:ser>
          <c:idx val="1"/>
          <c:order val="1"/>
          <c:tx>
            <c:strRef>
              <c:f>'Pivot Table'!$C$3</c:f>
              <c:strCache>
                <c:ptCount val="1"/>
                <c:pt idx="0">
                  <c:v>Sum of Harga Satuan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'Pivot Table'!$A$4:$A$32</c:f>
              <c:multiLvlStrCache>
                <c:ptCount val="14"/>
                <c:lvl>
                  <c:pt idx="0">
                    <c:v>Minuman</c:v>
                  </c:pt>
                  <c:pt idx="1">
                    <c:v>Sembako</c:v>
                  </c:pt>
                  <c:pt idx="2">
                    <c:v>Toiletries</c:v>
                  </c:pt>
                  <c:pt idx="3">
                    <c:v>Sembako</c:v>
                  </c:pt>
                  <c:pt idx="4">
                    <c:v>Minuman</c:v>
                  </c:pt>
                  <c:pt idx="5">
                    <c:v>Makanan</c:v>
                  </c:pt>
                  <c:pt idx="6">
                    <c:v>Sembako</c:v>
                  </c:pt>
                  <c:pt idx="7">
                    <c:v>Toiletries</c:v>
                  </c:pt>
                  <c:pt idx="8">
                    <c:v>Makanan</c:v>
                  </c:pt>
                  <c:pt idx="9">
                    <c:v>Toiletries</c:v>
                  </c:pt>
                  <c:pt idx="10">
                    <c:v>Toiletries</c:v>
                  </c:pt>
                  <c:pt idx="11">
                    <c:v>Minuman</c:v>
                  </c:pt>
                  <c:pt idx="12">
                    <c:v>Minuman</c:v>
                  </c:pt>
                  <c:pt idx="13">
                    <c:v>Sembako</c:v>
                  </c:pt>
                </c:lvl>
                <c:lvl>
                  <c:pt idx="0">
                    <c:v>Air Mineral 600ml</c:v>
                  </c:pt>
                  <c:pt idx="1">
                    <c:v>Beras 5kg</c:v>
                  </c:pt>
                  <c:pt idx="2">
                    <c:v>Detergen 1kg</c:v>
                  </c:pt>
                  <c:pt idx="3">
                    <c:v>Gula 1kg</c:v>
                  </c:pt>
                  <c:pt idx="4">
                    <c:v>Kopi Sachet</c:v>
                  </c:pt>
                  <c:pt idx="5">
                    <c:v>Mie Instan</c:v>
                  </c:pt>
                  <c:pt idx="6">
                    <c:v>Minyak Goreng 1L</c:v>
                  </c:pt>
                  <c:pt idx="7">
                    <c:v>Pasta Gigi</c:v>
                  </c:pt>
                  <c:pt idx="8">
                    <c:v>Roti Tawar</c:v>
                  </c:pt>
                  <c:pt idx="9">
                    <c:v>Sabun Mandi</c:v>
                  </c:pt>
                  <c:pt idx="10">
                    <c:v>Shampoo</c:v>
                  </c:pt>
                  <c:pt idx="11">
                    <c:v>Susu UHT</c:v>
                  </c:pt>
                  <c:pt idx="12">
                    <c:v>Teh Celup</c:v>
                  </c:pt>
                  <c:pt idx="13">
                    <c:v>Telur 1kg</c:v>
                  </c:pt>
                </c:lvl>
              </c:multiLvlStrCache>
            </c:multiLvlStrRef>
          </c:cat>
          <c:val>
            <c:numRef>
              <c:f>'Pivot Table'!$C$4:$C$32</c:f>
              <c:numCache>
                <c:formatCode>General</c:formatCode>
                <c:ptCount val="14"/>
                <c:pt idx="0">
                  <c:v>36000</c:v>
                </c:pt>
                <c:pt idx="1">
                  <c:v>675000</c:v>
                </c:pt>
                <c:pt idx="2">
                  <c:v>195000</c:v>
                </c:pt>
                <c:pt idx="3">
                  <c:v>238000</c:v>
                </c:pt>
                <c:pt idx="4">
                  <c:v>22000</c:v>
                </c:pt>
                <c:pt idx="5">
                  <c:v>56000</c:v>
                </c:pt>
                <c:pt idx="6">
                  <c:v>180000</c:v>
                </c:pt>
                <c:pt idx="7">
                  <c:v>120000</c:v>
                </c:pt>
                <c:pt idx="8">
                  <c:v>204000</c:v>
                </c:pt>
                <c:pt idx="9">
                  <c:v>105000</c:v>
                </c:pt>
                <c:pt idx="10">
                  <c:v>375000</c:v>
                </c:pt>
                <c:pt idx="11">
                  <c:v>126000</c:v>
                </c:pt>
                <c:pt idx="12">
                  <c:v>85000</c:v>
                </c:pt>
                <c:pt idx="13">
                  <c:v>420000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F5B-4BF1-9656-1DC3A20BA9C6}"/>
            </c:ext>
          </c:extLst>
        </c:ser>
        <c:ser>
          <c:idx val="2"/>
          <c:order val="2"/>
          <c:tx>
            <c:strRef>
              <c:f>'Pivot Table'!$D$3</c:f>
              <c:strCache>
                <c:ptCount val="1"/>
                <c:pt idx="0">
                  <c:v>Sum of 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'Pivot Table'!$A$4:$A$32</c:f>
              <c:multiLvlStrCache>
                <c:ptCount val="14"/>
                <c:lvl>
                  <c:pt idx="0">
                    <c:v>Minuman</c:v>
                  </c:pt>
                  <c:pt idx="1">
                    <c:v>Sembako</c:v>
                  </c:pt>
                  <c:pt idx="2">
                    <c:v>Toiletries</c:v>
                  </c:pt>
                  <c:pt idx="3">
                    <c:v>Sembako</c:v>
                  </c:pt>
                  <c:pt idx="4">
                    <c:v>Minuman</c:v>
                  </c:pt>
                  <c:pt idx="5">
                    <c:v>Makanan</c:v>
                  </c:pt>
                  <c:pt idx="6">
                    <c:v>Sembako</c:v>
                  </c:pt>
                  <c:pt idx="7">
                    <c:v>Toiletries</c:v>
                  </c:pt>
                  <c:pt idx="8">
                    <c:v>Makanan</c:v>
                  </c:pt>
                  <c:pt idx="9">
                    <c:v>Toiletries</c:v>
                  </c:pt>
                  <c:pt idx="10">
                    <c:v>Toiletries</c:v>
                  </c:pt>
                  <c:pt idx="11">
                    <c:v>Minuman</c:v>
                  </c:pt>
                  <c:pt idx="12">
                    <c:v>Minuman</c:v>
                  </c:pt>
                  <c:pt idx="13">
                    <c:v>Sembako</c:v>
                  </c:pt>
                </c:lvl>
                <c:lvl>
                  <c:pt idx="0">
                    <c:v>Air Mineral 600ml</c:v>
                  </c:pt>
                  <c:pt idx="1">
                    <c:v>Beras 5kg</c:v>
                  </c:pt>
                  <c:pt idx="2">
                    <c:v>Detergen 1kg</c:v>
                  </c:pt>
                  <c:pt idx="3">
                    <c:v>Gula 1kg</c:v>
                  </c:pt>
                  <c:pt idx="4">
                    <c:v>Kopi Sachet</c:v>
                  </c:pt>
                  <c:pt idx="5">
                    <c:v>Mie Instan</c:v>
                  </c:pt>
                  <c:pt idx="6">
                    <c:v>Minyak Goreng 1L</c:v>
                  </c:pt>
                  <c:pt idx="7">
                    <c:v>Pasta Gigi</c:v>
                  </c:pt>
                  <c:pt idx="8">
                    <c:v>Roti Tawar</c:v>
                  </c:pt>
                  <c:pt idx="9">
                    <c:v>Sabun Mandi</c:v>
                  </c:pt>
                  <c:pt idx="10">
                    <c:v>Shampoo</c:v>
                  </c:pt>
                  <c:pt idx="11">
                    <c:v>Susu UHT</c:v>
                  </c:pt>
                  <c:pt idx="12">
                    <c:v>Teh Celup</c:v>
                  </c:pt>
                  <c:pt idx="13">
                    <c:v>Telur 1kg</c:v>
                  </c:pt>
                </c:lvl>
              </c:multiLvlStrCache>
            </c:multiLvlStrRef>
          </c:cat>
          <c:val>
            <c:numRef>
              <c:f>'Pivot Table'!$D$4:$D$32</c:f>
              <c:numCache>
                <c:formatCode>General</c:formatCode>
                <c:ptCount val="14"/>
                <c:pt idx="0">
                  <c:v>315000</c:v>
                </c:pt>
                <c:pt idx="1">
                  <c:v>4650000</c:v>
                </c:pt>
                <c:pt idx="2">
                  <c:v>2040000</c:v>
                </c:pt>
                <c:pt idx="3">
                  <c:v>2016000</c:v>
                </c:pt>
                <c:pt idx="4">
                  <c:v>182000</c:v>
                </c:pt>
                <c:pt idx="5">
                  <c:v>437500</c:v>
                </c:pt>
                <c:pt idx="6">
                  <c:v>1674000</c:v>
                </c:pt>
                <c:pt idx="7">
                  <c:v>1020000</c:v>
                </c:pt>
                <c:pt idx="8">
                  <c:v>1380000</c:v>
                </c:pt>
                <c:pt idx="9">
                  <c:v>725000</c:v>
                </c:pt>
                <c:pt idx="10">
                  <c:v>3225000</c:v>
                </c:pt>
                <c:pt idx="11">
                  <c:v>966000</c:v>
                </c:pt>
                <c:pt idx="12">
                  <c:v>760000</c:v>
                </c:pt>
                <c:pt idx="13">
                  <c:v>2820000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F5B-4BF1-9656-1DC3A20BA9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22166736"/>
        <c:axId val="1522168656"/>
      </c:barChart>
      <c:catAx>
        <c:axId val="1522166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168656"/>
        <c:crosses val="autoZero"/>
        <c:auto val="1"/>
        <c:lblAlgn val="ctr"/>
        <c:lblOffset val="100"/>
        <c:noMultiLvlLbl val="0"/>
      </c:catAx>
      <c:valAx>
        <c:axId val="1522168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166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579120</xdr:colOff>
      <xdr:row>1</xdr:row>
      <xdr:rowOff>167640</xdr:rowOff>
    </xdr:from>
    <xdr:to>
      <xdr:col>12</xdr:col>
      <xdr:colOff>274320</xdr:colOff>
      <xdr:row>16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133600-FA69-07C5-8426-49FA2C150B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ri Adhi" refreshedDate="46121.707183333332" createdVersion="8" refreshedVersion="8" minRefreshableVersion="3" recordCount="200" xr:uid="{6CDA7580-3E79-4174-8B60-DBCF91553F1B}">
  <cacheSource type="worksheet">
    <worksheetSource name="Table1"/>
  </cacheSource>
  <cacheFields count="7">
    <cacheField name="Tanggal" numFmtId="0">
      <sharedItems count="40">
        <s v="2025-01-01"/>
        <s v="2025-01-02"/>
        <s v="2025-01-03"/>
        <s v="2025-01-04"/>
        <s v="2025-01-05"/>
        <s v="2025-01-06"/>
        <s v="2025-01-07"/>
        <s v="2025-01-08"/>
        <s v="2025-01-09"/>
        <s v="2025-01-10"/>
        <s v="2025-01-11"/>
        <s v="2025-01-12"/>
        <s v="2025-01-13"/>
        <s v="2025-01-14"/>
        <s v="2025-01-15"/>
        <s v="2025-01-16"/>
        <s v="2025-01-17"/>
        <s v="2025-01-18"/>
        <s v="2025-01-19"/>
        <s v="2025-01-20"/>
        <s v="2025-01-21"/>
        <s v="2025-01-22"/>
        <s v="2025-01-23"/>
        <s v="2025-01-24"/>
        <s v="2025-01-25"/>
        <s v="2025-01-26"/>
        <s v="2025-01-27"/>
        <s v="2025-01-28"/>
        <s v="2025-01-29"/>
        <s v="2025-01-30"/>
        <s v="2025-01-31"/>
        <s v="2025-02-01"/>
        <s v="2025-02-02"/>
        <s v="2025-02-03"/>
        <s v="2025-02-04"/>
        <s v="2025-02-05"/>
        <s v="2025-02-06"/>
        <s v="2025-02-07"/>
        <s v="2025-02-08"/>
        <s v="2025-02-09"/>
      </sharedItems>
    </cacheField>
    <cacheField name="Nama Produk" numFmtId="0">
      <sharedItems count="14">
        <s v="Minyak Goreng 1L"/>
        <s v="Roti Tawar"/>
        <s v="Air Mineral 600ml"/>
        <s v="Beras 5kg"/>
        <s v="Shampoo"/>
        <s v="Sabun Mandi"/>
        <s v="Susu UHT"/>
        <s v="Mie Instan"/>
        <s v="Telur 1kg"/>
        <s v="Detergen 1kg"/>
        <s v="Teh Celup"/>
        <s v="Gula 1kg"/>
        <s v="Kopi Sachet"/>
        <s v="Pasta Gigi"/>
      </sharedItems>
    </cacheField>
    <cacheField name="Kategori" numFmtId="0">
      <sharedItems count="4">
        <s v="Sembako"/>
        <s v="Makanan"/>
        <s v="Minuman"/>
        <s v="Toiletries"/>
      </sharedItems>
    </cacheField>
    <cacheField name="Qty" numFmtId="0">
      <sharedItems containsSemiMixedTypes="0" containsString="0" containsNumber="1" containsInteger="1" minValue="1" maxValue="15"/>
    </cacheField>
    <cacheField name="Harga Satuan" numFmtId="0">
      <sharedItems containsSemiMixedTypes="0" containsString="0" containsNumber="1" containsInteger="1" minValue="2000" maxValue="75000"/>
    </cacheField>
    <cacheField name="Total" numFmtId="0">
      <sharedItems containsSemiMixedTypes="0" containsString="0" containsNumber="1" containsInteger="1" minValue="2000" maxValue="1050000"/>
    </cacheField>
    <cacheField name="Column1" numFmtId="0">
      <sharedItems count="2">
        <s v="Tinggi"/>
        <s v="Rendah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x v="0"/>
    <x v="0"/>
    <n v="8"/>
    <n v="18000"/>
    <n v="144000"/>
    <x v="0"/>
  </r>
  <r>
    <x v="0"/>
    <x v="1"/>
    <x v="1"/>
    <n v="7"/>
    <n v="12000"/>
    <n v="84000"/>
    <x v="0"/>
  </r>
  <r>
    <x v="0"/>
    <x v="2"/>
    <x v="2"/>
    <n v="10"/>
    <n v="3000"/>
    <n v="30000"/>
    <x v="1"/>
  </r>
  <r>
    <x v="0"/>
    <x v="3"/>
    <x v="0"/>
    <n v="13"/>
    <n v="75000"/>
    <n v="975000"/>
    <x v="0"/>
  </r>
  <r>
    <x v="0"/>
    <x v="4"/>
    <x v="3"/>
    <n v="10"/>
    <n v="25000"/>
    <n v="250000"/>
    <x v="0"/>
  </r>
  <r>
    <x v="1"/>
    <x v="4"/>
    <x v="3"/>
    <n v="6"/>
    <n v="25000"/>
    <n v="150000"/>
    <x v="0"/>
  </r>
  <r>
    <x v="1"/>
    <x v="5"/>
    <x v="3"/>
    <n v="2"/>
    <n v="5000"/>
    <n v="10000"/>
    <x v="1"/>
  </r>
  <r>
    <x v="1"/>
    <x v="6"/>
    <x v="2"/>
    <n v="7"/>
    <n v="7000"/>
    <n v="49000"/>
    <x v="1"/>
  </r>
  <r>
    <x v="1"/>
    <x v="5"/>
    <x v="3"/>
    <n v="6"/>
    <n v="5000"/>
    <n v="30000"/>
    <x v="1"/>
  </r>
  <r>
    <x v="1"/>
    <x v="4"/>
    <x v="3"/>
    <n v="4"/>
    <n v="25000"/>
    <n v="100000"/>
    <x v="0"/>
  </r>
  <r>
    <x v="2"/>
    <x v="7"/>
    <x v="1"/>
    <n v="13"/>
    <n v="3500"/>
    <n v="45500"/>
    <x v="1"/>
  </r>
  <r>
    <x v="2"/>
    <x v="8"/>
    <x v="0"/>
    <n v="2"/>
    <n v="30000"/>
    <n v="60000"/>
    <x v="1"/>
  </r>
  <r>
    <x v="2"/>
    <x v="5"/>
    <x v="3"/>
    <n v="15"/>
    <n v="5000"/>
    <n v="75000"/>
    <x v="0"/>
  </r>
  <r>
    <x v="2"/>
    <x v="6"/>
    <x v="2"/>
    <n v="14"/>
    <n v="7000"/>
    <n v="98000"/>
    <x v="0"/>
  </r>
  <r>
    <x v="2"/>
    <x v="9"/>
    <x v="3"/>
    <n v="9"/>
    <n v="15000"/>
    <n v="135000"/>
    <x v="0"/>
  </r>
  <r>
    <x v="3"/>
    <x v="5"/>
    <x v="3"/>
    <n v="8"/>
    <n v="5000"/>
    <n v="40000"/>
    <x v="1"/>
  </r>
  <r>
    <x v="3"/>
    <x v="7"/>
    <x v="1"/>
    <n v="4"/>
    <n v="3500"/>
    <n v="14000"/>
    <x v="1"/>
  </r>
  <r>
    <x v="3"/>
    <x v="6"/>
    <x v="2"/>
    <n v="5"/>
    <n v="7000"/>
    <n v="35000"/>
    <x v="1"/>
  </r>
  <r>
    <x v="3"/>
    <x v="10"/>
    <x v="2"/>
    <n v="13"/>
    <n v="5000"/>
    <n v="65000"/>
    <x v="0"/>
  </r>
  <r>
    <x v="3"/>
    <x v="11"/>
    <x v="0"/>
    <n v="2"/>
    <n v="14000"/>
    <n v="28000"/>
    <x v="1"/>
  </r>
  <r>
    <x v="4"/>
    <x v="8"/>
    <x v="0"/>
    <n v="9"/>
    <n v="30000"/>
    <n v="270000"/>
    <x v="0"/>
  </r>
  <r>
    <x v="4"/>
    <x v="10"/>
    <x v="2"/>
    <n v="13"/>
    <n v="5000"/>
    <n v="65000"/>
    <x v="0"/>
  </r>
  <r>
    <x v="4"/>
    <x v="5"/>
    <x v="3"/>
    <n v="4"/>
    <n v="5000"/>
    <n v="20000"/>
    <x v="1"/>
  </r>
  <r>
    <x v="4"/>
    <x v="2"/>
    <x v="2"/>
    <n v="1"/>
    <n v="3000"/>
    <n v="3000"/>
    <x v="1"/>
  </r>
  <r>
    <x v="4"/>
    <x v="4"/>
    <x v="3"/>
    <n v="2"/>
    <n v="25000"/>
    <n v="50000"/>
    <x v="1"/>
  </r>
  <r>
    <x v="5"/>
    <x v="6"/>
    <x v="2"/>
    <n v="13"/>
    <n v="7000"/>
    <n v="91000"/>
    <x v="0"/>
  </r>
  <r>
    <x v="5"/>
    <x v="4"/>
    <x v="3"/>
    <n v="11"/>
    <n v="25000"/>
    <n v="275000"/>
    <x v="0"/>
  </r>
  <r>
    <x v="5"/>
    <x v="11"/>
    <x v="0"/>
    <n v="9"/>
    <n v="14000"/>
    <n v="126000"/>
    <x v="0"/>
  </r>
  <r>
    <x v="5"/>
    <x v="10"/>
    <x v="2"/>
    <n v="1"/>
    <n v="5000"/>
    <n v="5000"/>
    <x v="1"/>
  </r>
  <r>
    <x v="5"/>
    <x v="6"/>
    <x v="2"/>
    <n v="4"/>
    <n v="7000"/>
    <n v="28000"/>
    <x v="1"/>
  </r>
  <r>
    <x v="6"/>
    <x v="0"/>
    <x v="0"/>
    <n v="10"/>
    <n v="18000"/>
    <n v="180000"/>
    <x v="0"/>
  </r>
  <r>
    <x v="6"/>
    <x v="8"/>
    <x v="0"/>
    <n v="1"/>
    <n v="30000"/>
    <n v="30000"/>
    <x v="1"/>
  </r>
  <r>
    <x v="6"/>
    <x v="12"/>
    <x v="2"/>
    <n v="4"/>
    <n v="2000"/>
    <n v="8000"/>
    <x v="1"/>
  </r>
  <r>
    <x v="6"/>
    <x v="1"/>
    <x v="1"/>
    <n v="6"/>
    <n v="12000"/>
    <n v="72000"/>
    <x v="0"/>
  </r>
  <r>
    <x v="6"/>
    <x v="6"/>
    <x v="2"/>
    <n v="5"/>
    <n v="7000"/>
    <n v="35000"/>
    <x v="1"/>
  </r>
  <r>
    <x v="7"/>
    <x v="3"/>
    <x v="0"/>
    <n v="2"/>
    <n v="75000"/>
    <n v="150000"/>
    <x v="0"/>
  </r>
  <r>
    <x v="7"/>
    <x v="6"/>
    <x v="2"/>
    <n v="8"/>
    <n v="7000"/>
    <n v="56000"/>
    <x v="1"/>
  </r>
  <r>
    <x v="7"/>
    <x v="7"/>
    <x v="1"/>
    <n v="11"/>
    <n v="3500"/>
    <n v="38500"/>
    <x v="1"/>
  </r>
  <r>
    <x v="7"/>
    <x v="8"/>
    <x v="0"/>
    <n v="12"/>
    <n v="30000"/>
    <n v="360000"/>
    <x v="0"/>
  </r>
  <r>
    <x v="7"/>
    <x v="3"/>
    <x v="0"/>
    <n v="10"/>
    <n v="75000"/>
    <n v="750000"/>
    <x v="0"/>
  </r>
  <r>
    <x v="8"/>
    <x v="7"/>
    <x v="1"/>
    <n v="9"/>
    <n v="3500"/>
    <n v="31500"/>
    <x v="1"/>
  </r>
  <r>
    <x v="8"/>
    <x v="6"/>
    <x v="2"/>
    <n v="6"/>
    <n v="7000"/>
    <n v="42000"/>
    <x v="1"/>
  </r>
  <r>
    <x v="8"/>
    <x v="12"/>
    <x v="2"/>
    <n v="4"/>
    <n v="2000"/>
    <n v="8000"/>
    <x v="1"/>
  </r>
  <r>
    <x v="8"/>
    <x v="10"/>
    <x v="2"/>
    <n v="13"/>
    <n v="5000"/>
    <n v="65000"/>
    <x v="0"/>
  </r>
  <r>
    <x v="8"/>
    <x v="5"/>
    <x v="3"/>
    <n v="1"/>
    <n v="5000"/>
    <n v="5000"/>
    <x v="1"/>
  </r>
  <r>
    <x v="9"/>
    <x v="1"/>
    <x v="1"/>
    <n v="1"/>
    <n v="12000"/>
    <n v="12000"/>
    <x v="1"/>
  </r>
  <r>
    <x v="9"/>
    <x v="7"/>
    <x v="1"/>
    <n v="10"/>
    <n v="3500"/>
    <n v="35000"/>
    <x v="1"/>
  </r>
  <r>
    <x v="9"/>
    <x v="5"/>
    <x v="3"/>
    <n v="3"/>
    <n v="5000"/>
    <n v="15000"/>
    <x v="1"/>
  </r>
  <r>
    <x v="9"/>
    <x v="11"/>
    <x v="0"/>
    <n v="8"/>
    <n v="14000"/>
    <n v="112000"/>
    <x v="0"/>
  </r>
  <r>
    <x v="9"/>
    <x v="8"/>
    <x v="0"/>
    <n v="5"/>
    <n v="30000"/>
    <n v="150000"/>
    <x v="0"/>
  </r>
  <r>
    <x v="10"/>
    <x v="2"/>
    <x v="2"/>
    <n v="4"/>
    <n v="3000"/>
    <n v="12000"/>
    <x v="1"/>
  </r>
  <r>
    <x v="10"/>
    <x v="3"/>
    <x v="0"/>
    <n v="10"/>
    <n v="75000"/>
    <n v="750000"/>
    <x v="0"/>
  </r>
  <r>
    <x v="10"/>
    <x v="8"/>
    <x v="0"/>
    <n v="10"/>
    <n v="30000"/>
    <n v="300000"/>
    <x v="0"/>
  </r>
  <r>
    <x v="10"/>
    <x v="0"/>
    <x v="0"/>
    <n v="13"/>
    <n v="18000"/>
    <n v="234000"/>
    <x v="0"/>
  </r>
  <r>
    <x v="10"/>
    <x v="11"/>
    <x v="0"/>
    <n v="11"/>
    <n v="14000"/>
    <n v="154000"/>
    <x v="0"/>
  </r>
  <r>
    <x v="11"/>
    <x v="10"/>
    <x v="2"/>
    <n v="12"/>
    <n v="5000"/>
    <n v="60000"/>
    <x v="1"/>
  </r>
  <r>
    <x v="11"/>
    <x v="1"/>
    <x v="1"/>
    <n v="15"/>
    <n v="12000"/>
    <n v="180000"/>
    <x v="0"/>
  </r>
  <r>
    <x v="11"/>
    <x v="1"/>
    <x v="1"/>
    <n v="6"/>
    <n v="12000"/>
    <n v="72000"/>
    <x v="0"/>
  </r>
  <r>
    <x v="11"/>
    <x v="10"/>
    <x v="2"/>
    <n v="9"/>
    <n v="5000"/>
    <n v="45000"/>
    <x v="1"/>
  </r>
  <r>
    <x v="11"/>
    <x v="5"/>
    <x v="3"/>
    <n v="7"/>
    <n v="5000"/>
    <n v="35000"/>
    <x v="1"/>
  </r>
  <r>
    <x v="12"/>
    <x v="3"/>
    <x v="0"/>
    <n v="3"/>
    <n v="75000"/>
    <n v="225000"/>
    <x v="0"/>
  </r>
  <r>
    <x v="12"/>
    <x v="0"/>
    <x v="0"/>
    <n v="10"/>
    <n v="18000"/>
    <n v="180000"/>
    <x v="0"/>
  </r>
  <r>
    <x v="12"/>
    <x v="9"/>
    <x v="3"/>
    <n v="12"/>
    <n v="15000"/>
    <n v="180000"/>
    <x v="0"/>
  </r>
  <r>
    <x v="12"/>
    <x v="1"/>
    <x v="1"/>
    <n v="3"/>
    <n v="12000"/>
    <n v="36000"/>
    <x v="1"/>
  </r>
  <r>
    <x v="12"/>
    <x v="11"/>
    <x v="0"/>
    <n v="12"/>
    <n v="14000"/>
    <n v="168000"/>
    <x v="0"/>
  </r>
  <r>
    <x v="13"/>
    <x v="5"/>
    <x v="3"/>
    <n v="7"/>
    <n v="5000"/>
    <n v="35000"/>
    <x v="1"/>
  </r>
  <r>
    <x v="13"/>
    <x v="8"/>
    <x v="0"/>
    <n v="1"/>
    <n v="30000"/>
    <n v="30000"/>
    <x v="1"/>
  </r>
  <r>
    <x v="13"/>
    <x v="13"/>
    <x v="3"/>
    <n v="11"/>
    <n v="12000"/>
    <n v="132000"/>
    <x v="0"/>
  </r>
  <r>
    <x v="13"/>
    <x v="11"/>
    <x v="0"/>
    <n v="13"/>
    <n v="14000"/>
    <n v="182000"/>
    <x v="0"/>
  </r>
  <r>
    <x v="13"/>
    <x v="7"/>
    <x v="1"/>
    <n v="11"/>
    <n v="3500"/>
    <n v="38500"/>
    <x v="1"/>
  </r>
  <r>
    <x v="14"/>
    <x v="6"/>
    <x v="2"/>
    <n v="9"/>
    <n v="7000"/>
    <n v="63000"/>
    <x v="0"/>
  </r>
  <r>
    <x v="14"/>
    <x v="1"/>
    <x v="1"/>
    <n v="1"/>
    <n v="12000"/>
    <n v="12000"/>
    <x v="1"/>
  </r>
  <r>
    <x v="14"/>
    <x v="11"/>
    <x v="0"/>
    <n v="12"/>
    <n v="14000"/>
    <n v="168000"/>
    <x v="0"/>
  </r>
  <r>
    <x v="14"/>
    <x v="4"/>
    <x v="3"/>
    <n v="15"/>
    <n v="25000"/>
    <n v="375000"/>
    <x v="0"/>
  </r>
  <r>
    <x v="14"/>
    <x v="4"/>
    <x v="3"/>
    <n v="10"/>
    <n v="25000"/>
    <n v="250000"/>
    <x v="0"/>
  </r>
  <r>
    <x v="15"/>
    <x v="11"/>
    <x v="0"/>
    <n v="1"/>
    <n v="14000"/>
    <n v="14000"/>
    <x v="1"/>
  </r>
  <r>
    <x v="15"/>
    <x v="10"/>
    <x v="2"/>
    <n v="10"/>
    <n v="5000"/>
    <n v="50000"/>
    <x v="1"/>
  </r>
  <r>
    <x v="15"/>
    <x v="2"/>
    <x v="2"/>
    <n v="14"/>
    <n v="3000"/>
    <n v="42000"/>
    <x v="1"/>
  </r>
  <r>
    <x v="15"/>
    <x v="5"/>
    <x v="3"/>
    <n v="11"/>
    <n v="5000"/>
    <n v="55000"/>
    <x v="1"/>
  </r>
  <r>
    <x v="15"/>
    <x v="0"/>
    <x v="0"/>
    <n v="14"/>
    <n v="18000"/>
    <n v="252000"/>
    <x v="0"/>
  </r>
  <r>
    <x v="16"/>
    <x v="6"/>
    <x v="2"/>
    <n v="4"/>
    <n v="7000"/>
    <n v="28000"/>
    <x v="1"/>
  </r>
  <r>
    <x v="16"/>
    <x v="12"/>
    <x v="2"/>
    <n v="9"/>
    <n v="2000"/>
    <n v="18000"/>
    <x v="1"/>
  </r>
  <r>
    <x v="16"/>
    <x v="10"/>
    <x v="2"/>
    <n v="9"/>
    <n v="5000"/>
    <n v="45000"/>
    <x v="1"/>
  </r>
  <r>
    <x v="16"/>
    <x v="0"/>
    <x v="0"/>
    <n v="15"/>
    <n v="18000"/>
    <n v="270000"/>
    <x v="0"/>
  </r>
  <r>
    <x v="16"/>
    <x v="1"/>
    <x v="1"/>
    <n v="2"/>
    <n v="12000"/>
    <n v="24000"/>
    <x v="1"/>
  </r>
  <r>
    <x v="17"/>
    <x v="2"/>
    <x v="2"/>
    <n v="7"/>
    <n v="3000"/>
    <n v="21000"/>
    <x v="1"/>
  </r>
  <r>
    <x v="17"/>
    <x v="0"/>
    <x v="0"/>
    <n v="2"/>
    <n v="18000"/>
    <n v="36000"/>
    <x v="1"/>
  </r>
  <r>
    <x v="17"/>
    <x v="5"/>
    <x v="3"/>
    <n v="8"/>
    <n v="5000"/>
    <n v="40000"/>
    <x v="1"/>
  </r>
  <r>
    <x v="17"/>
    <x v="1"/>
    <x v="1"/>
    <n v="9"/>
    <n v="12000"/>
    <n v="108000"/>
    <x v="0"/>
  </r>
  <r>
    <x v="17"/>
    <x v="3"/>
    <x v="0"/>
    <n v="14"/>
    <n v="75000"/>
    <n v="1050000"/>
    <x v="0"/>
  </r>
  <r>
    <x v="18"/>
    <x v="1"/>
    <x v="1"/>
    <n v="1"/>
    <n v="12000"/>
    <n v="12000"/>
    <x v="1"/>
  </r>
  <r>
    <x v="18"/>
    <x v="7"/>
    <x v="1"/>
    <n v="15"/>
    <n v="3500"/>
    <n v="52500"/>
    <x v="1"/>
  </r>
  <r>
    <x v="18"/>
    <x v="13"/>
    <x v="3"/>
    <n v="2"/>
    <n v="12000"/>
    <n v="24000"/>
    <x v="1"/>
  </r>
  <r>
    <x v="18"/>
    <x v="0"/>
    <x v="0"/>
    <n v="6"/>
    <n v="18000"/>
    <n v="108000"/>
    <x v="0"/>
  </r>
  <r>
    <x v="18"/>
    <x v="6"/>
    <x v="2"/>
    <n v="10"/>
    <n v="7000"/>
    <n v="70000"/>
    <x v="0"/>
  </r>
  <r>
    <x v="19"/>
    <x v="5"/>
    <x v="3"/>
    <n v="11"/>
    <n v="5000"/>
    <n v="55000"/>
    <x v="1"/>
  </r>
  <r>
    <x v="19"/>
    <x v="9"/>
    <x v="3"/>
    <n v="4"/>
    <n v="15000"/>
    <n v="60000"/>
    <x v="1"/>
  </r>
  <r>
    <x v="19"/>
    <x v="11"/>
    <x v="0"/>
    <n v="12"/>
    <n v="14000"/>
    <n v="168000"/>
    <x v="0"/>
  </r>
  <r>
    <x v="19"/>
    <x v="2"/>
    <x v="2"/>
    <n v="2"/>
    <n v="3000"/>
    <n v="6000"/>
    <x v="1"/>
  </r>
  <r>
    <x v="19"/>
    <x v="9"/>
    <x v="3"/>
    <n v="13"/>
    <n v="15000"/>
    <n v="195000"/>
    <x v="0"/>
  </r>
  <r>
    <x v="20"/>
    <x v="5"/>
    <x v="3"/>
    <n v="9"/>
    <n v="5000"/>
    <n v="45000"/>
    <x v="1"/>
  </r>
  <r>
    <x v="20"/>
    <x v="11"/>
    <x v="0"/>
    <n v="7"/>
    <n v="14000"/>
    <n v="98000"/>
    <x v="0"/>
  </r>
  <r>
    <x v="20"/>
    <x v="2"/>
    <x v="2"/>
    <n v="13"/>
    <n v="3000"/>
    <n v="39000"/>
    <x v="1"/>
  </r>
  <r>
    <x v="20"/>
    <x v="4"/>
    <x v="3"/>
    <n v="9"/>
    <n v="25000"/>
    <n v="225000"/>
    <x v="0"/>
  </r>
  <r>
    <x v="20"/>
    <x v="10"/>
    <x v="2"/>
    <n v="7"/>
    <n v="5000"/>
    <n v="35000"/>
    <x v="1"/>
  </r>
  <r>
    <x v="21"/>
    <x v="12"/>
    <x v="2"/>
    <n v="8"/>
    <n v="2000"/>
    <n v="16000"/>
    <x v="1"/>
  </r>
  <r>
    <x v="21"/>
    <x v="10"/>
    <x v="2"/>
    <n v="12"/>
    <n v="5000"/>
    <n v="60000"/>
    <x v="1"/>
  </r>
  <r>
    <x v="21"/>
    <x v="9"/>
    <x v="3"/>
    <n v="12"/>
    <n v="15000"/>
    <n v="180000"/>
    <x v="0"/>
  </r>
  <r>
    <x v="21"/>
    <x v="7"/>
    <x v="1"/>
    <n v="3"/>
    <n v="3500"/>
    <n v="10500"/>
    <x v="1"/>
  </r>
  <r>
    <x v="21"/>
    <x v="3"/>
    <x v="0"/>
    <n v="4"/>
    <n v="75000"/>
    <n v="300000"/>
    <x v="0"/>
  </r>
  <r>
    <x v="22"/>
    <x v="11"/>
    <x v="0"/>
    <n v="5"/>
    <n v="14000"/>
    <n v="70000"/>
    <x v="0"/>
  </r>
  <r>
    <x v="22"/>
    <x v="9"/>
    <x v="3"/>
    <n v="14"/>
    <n v="15000"/>
    <n v="210000"/>
    <x v="0"/>
  </r>
  <r>
    <x v="22"/>
    <x v="7"/>
    <x v="1"/>
    <n v="5"/>
    <n v="3500"/>
    <n v="17500"/>
    <x v="1"/>
  </r>
  <r>
    <x v="22"/>
    <x v="8"/>
    <x v="0"/>
    <n v="6"/>
    <n v="30000"/>
    <n v="180000"/>
    <x v="0"/>
  </r>
  <r>
    <x v="22"/>
    <x v="6"/>
    <x v="2"/>
    <n v="8"/>
    <n v="7000"/>
    <n v="56000"/>
    <x v="1"/>
  </r>
  <r>
    <x v="23"/>
    <x v="10"/>
    <x v="2"/>
    <n v="7"/>
    <n v="5000"/>
    <n v="35000"/>
    <x v="1"/>
  </r>
  <r>
    <x v="23"/>
    <x v="9"/>
    <x v="3"/>
    <n v="13"/>
    <n v="15000"/>
    <n v="195000"/>
    <x v="0"/>
  </r>
  <r>
    <x v="23"/>
    <x v="1"/>
    <x v="1"/>
    <n v="11"/>
    <n v="12000"/>
    <n v="132000"/>
    <x v="0"/>
  </r>
  <r>
    <x v="23"/>
    <x v="8"/>
    <x v="0"/>
    <n v="7"/>
    <n v="30000"/>
    <n v="210000"/>
    <x v="0"/>
  </r>
  <r>
    <x v="23"/>
    <x v="9"/>
    <x v="3"/>
    <n v="13"/>
    <n v="15000"/>
    <n v="195000"/>
    <x v="0"/>
  </r>
  <r>
    <x v="24"/>
    <x v="5"/>
    <x v="3"/>
    <n v="9"/>
    <n v="5000"/>
    <n v="45000"/>
    <x v="1"/>
  </r>
  <r>
    <x v="24"/>
    <x v="7"/>
    <x v="1"/>
    <n v="10"/>
    <n v="3500"/>
    <n v="35000"/>
    <x v="1"/>
  </r>
  <r>
    <x v="24"/>
    <x v="2"/>
    <x v="2"/>
    <n v="13"/>
    <n v="3000"/>
    <n v="39000"/>
    <x v="1"/>
  </r>
  <r>
    <x v="24"/>
    <x v="13"/>
    <x v="3"/>
    <n v="6"/>
    <n v="12000"/>
    <n v="72000"/>
    <x v="0"/>
  </r>
  <r>
    <x v="24"/>
    <x v="5"/>
    <x v="3"/>
    <n v="12"/>
    <n v="5000"/>
    <n v="60000"/>
    <x v="1"/>
  </r>
  <r>
    <x v="25"/>
    <x v="7"/>
    <x v="1"/>
    <n v="6"/>
    <n v="3500"/>
    <n v="21000"/>
    <x v="1"/>
  </r>
  <r>
    <x v="25"/>
    <x v="4"/>
    <x v="3"/>
    <n v="8"/>
    <n v="25000"/>
    <n v="200000"/>
    <x v="0"/>
  </r>
  <r>
    <x v="25"/>
    <x v="1"/>
    <x v="1"/>
    <n v="1"/>
    <n v="12000"/>
    <n v="12000"/>
    <x v="1"/>
  </r>
  <r>
    <x v="25"/>
    <x v="10"/>
    <x v="2"/>
    <n v="3"/>
    <n v="5000"/>
    <n v="15000"/>
    <x v="1"/>
  </r>
  <r>
    <x v="25"/>
    <x v="11"/>
    <x v="0"/>
    <n v="9"/>
    <n v="14000"/>
    <n v="126000"/>
    <x v="0"/>
  </r>
  <r>
    <x v="26"/>
    <x v="9"/>
    <x v="3"/>
    <n v="11"/>
    <n v="15000"/>
    <n v="165000"/>
    <x v="0"/>
  </r>
  <r>
    <x v="26"/>
    <x v="13"/>
    <x v="3"/>
    <n v="9"/>
    <n v="12000"/>
    <n v="108000"/>
    <x v="0"/>
  </r>
  <r>
    <x v="26"/>
    <x v="11"/>
    <x v="0"/>
    <n v="8"/>
    <n v="14000"/>
    <n v="112000"/>
    <x v="0"/>
  </r>
  <r>
    <x v="26"/>
    <x v="0"/>
    <x v="0"/>
    <n v="14"/>
    <n v="18000"/>
    <n v="252000"/>
    <x v="0"/>
  </r>
  <r>
    <x v="26"/>
    <x v="8"/>
    <x v="0"/>
    <n v="7"/>
    <n v="30000"/>
    <n v="210000"/>
    <x v="0"/>
  </r>
  <r>
    <x v="27"/>
    <x v="6"/>
    <x v="2"/>
    <n v="6"/>
    <n v="7000"/>
    <n v="42000"/>
    <x v="1"/>
  </r>
  <r>
    <x v="27"/>
    <x v="10"/>
    <x v="2"/>
    <n v="6"/>
    <n v="5000"/>
    <n v="30000"/>
    <x v="1"/>
  </r>
  <r>
    <x v="27"/>
    <x v="13"/>
    <x v="3"/>
    <n v="8"/>
    <n v="12000"/>
    <n v="96000"/>
    <x v="0"/>
  </r>
  <r>
    <x v="27"/>
    <x v="4"/>
    <x v="3"/>
    <n v="14"/>
    <n v="25000"/>
    <n v="350000"/>
    <x v="0"/>
  </r>
  <r>
    <x v="27"/>
    <x v="2"/>
    <x v="2"/>
    <n v="11"/>
    <n v="3000"/>
    <n v="33000"/>
    <x v="1"/>
  </r>
  <r>
    <x v="28"/>
    <x v="2"/>
    <x v="2"/>
    <n v="15"/>
    <n v="3000"/>
    <n v="45000"/>
    <x v="1"/>
  </r>
  <r>
    <x v="28"/>
    <x v="9"/>
    <x v="3"/>
    <n v="11"/>
    <n v="15000"/>
    <n v="165000"/>
    <x v="0"/>
  </r>
  <r>
    <x v="28"/>
    <x v="6"/>
    <x v="2"/>
    <n v="10"/>
    <n v="7000"/>
    <n v="70000"/>
    <x v="0"/>
  </r>
  <r>
    <x v="28"/>
    <x v="11"/>
    <x v="0"/>
    <n v="12"/>
    <n v="14000"/>
    <n v="168000"/>
    <x v="0"/>
  </r>
  <r>
    <x v="28"/>
    <x v="9"/>
    <x v="3"/>
    <n v="13"/>
    <n v="15000"/>
    <n v="195000"/>
    <x v="0"/>
  </r>
  <r>
    <x v="29"/>
    <x v="7"/>
    <x v="1"/>
    <n v="2"/>
    <n v="3500"/>
    <n v="7000"/>
    <x v="1"/>
  </r>
  <r>
    <x v="29"/>
    <x v="12"/>
    <x v="2"/>
    <n v="10"/>
    <n v="2000"/>
    <n v="20000"/>
    <x v="1"/>
  </r>
  <r>
    <x v="29"/>
    <x v="4"/>
    <x v="3"/>
    <n v="2"/>
    <n v="25000"/>
    <n v="50000"/>
    <x v="1"/>
  </r>
  <r>
    <x v="29"/>
    <x v="4"/>
    <x v="3"/>
    <n v="1"/>
    <n v="25000"/>
    <n v="25000"/>
    <x v="1"/>
  </r>
  <r>
    <x v="29"/>
    <x v="12"/>
    <x v="2"/>
    <n v="14"/>
    <n v="2000"/>
    <n v="28000"/>
    <x v="1"/>
  </r>
  <r>
    <x v="30"/>
    <x v="5"/>
    <x v="3"/>
    <n v="1"/>
    <n v="5000"/>
    <n v="5000"/>
    <x v="1"/>
  </r>
  <r>
    <x v="30"/>
    <x v="7"/>
    <x v="1"/>
    <n v="2"/>
    <n v="3500"/>
    <n v="7000"/>
    <x v="1"/>
  </r>
  <r>
    <x v="30"/>
    <x v="0"/>
    <x v="0"/>
    <n v="1"/>
    <n v="18000"/>
    <n v="18000"/>
    <x v="1"/>
  </r>
  <r>
    <x v="30"/>
    <x v="11"/>
    <x v="0"/>
    <n v="4"/>
    <n v="14000"/>
    <n v="56000"/>
    <x v="1"/>
  </r>
  <r>
    <x v="30"/>
    <x v="7"/>
    <x v="1"/>
    <n v="5"/>
    <n v="3500"/>
    <n v="17500"/>
    <x v="1"/>
  </r>
  <r>
    <x v="31"/>
    <x v="5"/>
    <x v="3"/>
    <n v="11"/>
    <n v="5000"/>
    <n v="55000"/>
    <x v="1"/>
  </r>
  <r>
    <x v="31"/>
    <x v="13"/>
    <x v="3"/>
    <n v="14"/>
    <n v="12000"/>
    <n v="168000"/>
    <x v="0"/>
  </r>
  <r>
    <x v="31"/>
    <x v="10"/>
    <x v="2"/>
    <n v="11"/>
    <n v="5000"/>
    <n v="55000"/>
    <x v="1"/>
  </r>
  <r>
    <x v="31"/>
    <x v="6"/>
    <x v="2"/>
    <n v="14"/>
    <n v="7000"/>
    <n v="98000"/>
    <x v="0"/>
  </r>
  <r>
    <x v="31"/>
    <x v="1"/>
    <x v="1"/>
    <n v="15"/>
    <n v="12000"/>
    <n v="180000"/>
    <x v="0"/>
  </r>
  <r>
    <x v="32"/>
    <x v="1"/>
    <x v="1"/>
    <n v="14"/>
    <n v="12000"/>
    <n v="168000"/>
    <x v="0"/>
  </r>
  <r>
    <x v="32"/>
    <x v="1"/>
    <x v="1"/>
    <n v="11"/>
    <n v="12000"/>
    <n v="132000"/>
    <x v="0"/>
  </r>
  <r>
    <x v="32"/>
    <x v="4"/>
    <x v="3"/>
    <n v="12"/>
    <n v="25000"/>
    <n v="300000"/>
    <x v="0"/>
  </r>
  <r>
    <x v="32"/>
    <x v="5"/>
    <x v="3"/>
    <n v="1"/>
    <n v="5000"/>
    <n v="5000"/>
    <x v="1"/>
  </r>
  <r>
    <x v="32"/>
    <x v="6"/>
    <x v="2"/>
    <n v="1"/>
    <n v="7000"/>
    <n v="7000"/>
    <x v="1"/>
  </r>
  <r>
    <x v="33"/>
    <x v="13"/>
    <x v="3"/>
    <n v="1"/>
    <n v="12000"/>
    <n v="12000"/>
    <x v="1"/>
  </r>
  <r>
    <x v="33"/>
    <x v="8"/>
    <x v="0"/>
    <n v="15"/>
    <n v="30000"/>
    <n v="450000"/>
    <x v="0"/>
  </r>
  <r>
    <x v="33"/>
    <x v="3"/>
    <x v="0"/>
    <n v="4"/>
    <n v="75000"/>
    <n v="300000"/>
    <x v="0"/>
  </r>
  <r>
    <x v="33"/>
    <x v="1"/>
    <x v="1"/>
    <n v="2"/>
    <n v="12000"/>
    <n v="24000"/>
    <x v="1"/>
  </r>
  <r>
    <x v="33"/>
    <x v="13"/>
    <x v="3"/>
    <n v="8"/>
    <n v="12000"/>
    <n v="96000"/>
    <x v="0"/>
  </r>
  <r>
    <x v="34"/>
    <x v="10"/>
    <x v="2"/>
    <n v="15"/>
    <n v="5000"/>
    <n v="75000"/>
    <x v="0"/>
  </r>
  <r>
    <x v="34"/>
    <x v="3"/>
    <x v="0"/>
    <n v="2"/>
    <n v="75000"/>
    <n v="150000"/>
    <x v="0"/>
  </r>
  <r>
    <x v="34"/>
    <x v="11"/>
    <x v="0"/>
    <n v="10"/>
    <n v="14000"/>
    <n v="140000"/>
    <x v="0"/>
  </r>
  <r>
    <x v="34"/>
    <x v="4"/>
    <x v="3"/>
    <n v="13"/>
    <n v="25000"/>
    <n v="325000"/>
    <x v="0"/>
  </r>
  <r>
    <x v="34"/>
    <x v="8"/>
    <x v="0"/>
    <n v="1"/>
    <n v="30000"/>
    <n v="30000"/>
    <x v="1"/>
  </r>
  <r>
    <x v="35"/>
    <x v="8"/>
    <x v="0"/>
    <n v="4"/>
    <n v="30000"/>
    <n v="120000"/>
    <x v="0"/>
  </r>
  <r>
    <x v="35"/>
    <x v="10"/>
    <x v="2"/>
    <n v="7"/>
    <n v="5000"/>
    <n v="35000"/>
    <x v="1"/>
  </r>
  <r>
    <x v="35"/>
    <x v="5"/>
    <x v="3"/>
    <n v="8"/>
    <n v="5000"/>
    <n v="40000"/>
    <x v="1"/>
  </r>
  <r>
    <x v="35"/>
    <x v="4"/>
    <x v="3"/>
    <n v="12"/>
    <n v="25000"/>
    <n v="300000"/>
    <x v="0"/>
  </r>
  <r>
    <x v="35"/>
    <x v="8"/>
    <x v="0"/>
    <n v="14"/>
    <n v="30000"/>
    <n v="420000"/>
    <x v="0"/>
  </r>
  <r>
    <x v="36"/>
    <x v="9"/>
    <x v="3"/>
    <n v="9"/>
    <n v="15000"/>
    <n v="135000"/>
    <x v="0"/>
  </r>
  <r>
    <x v="36"/>
    <x v="12"/>
    <x v="2"/>
    <n v="5"/>
    <n v="2000"/>
    <n v="10000"/>
    <x v="1"/>
  </r>
  <r>
    <x v="36"/>
    <x v="6"/>
    <x v="2"/>
    <n v="5"/>
    <n v="7000"/>
    <n v="35000"/>
    <x v="1"/>
  </r>
  <r>
    <x v="36"/>
    <x v="2"/>
    <x v="2"/>
    <n v="12"/>
    <n v="3000"/>
    <n v="36000"/>
    <x v="1"/>
  </r>
  <r>
    <x v="36"/>
    <x v="13"/>
    <x v="3"/>
    <n v="15"/>
    <n v="12000"/>
    <n v="180000"/>
    <x v="0"/>
  </r>
  <r>
    <x v="37"/>
    <x v="10"/>
    <x v="2"/>
    <n v="4"/>
    <n v="5000"/>
    <n v="20000"/>
    <x v="1"/>
  </r>
  <r>
    <x v="37"/>
    <x v="1"/>
    <x v="1"/>
    <n v="10"/>
    <n v="12000"/>
    <n v="120000"/>
    <x v="0"/>
  </r>
  <r>
    <x v="37"/>
    <x v="2"/>
    <x v="2"/>
    <n v="3"/>
    <n v="3000"/>
    <n v="9000"/>
    <x v="1"/>
  </r>
  <r>
    <x v="37"/>
    <x v="7"/>
    <x v="1"/>
    <n v="7"/>
    <n v="3500"/>
    <n v="24500"/>
    <x v="1"/>
  </r>
  <r>
    <x v="37"/>
    <x v="6"/>
    <x v="2"/>
    <n v="9"/>
    <n v="7000"/>
    <n v="63000"/>
    <x v="0"/>
  </r>
  <r>
    <x v="38"/>
    <x v="13"/>
    <x v="3"/>
    <n v="11"/>
    <n v="12000"/>
    <n v="132000"/>
    <x v="0"/>
  </r>
  <r>
    <x v="38"/>
    <x v="9"/>
    <x v="3"/>
    <n v="2"/>
    <n v="15000"/>
    <n v="30000"/>
    <x v="1"/>
  </r>
  <r>
    <x v="38"/>
    <x v="7"/>
    <x v="1"/>
    <n v="12"/>
    <n v="3500"/>
    <n v="42000"/>
    <x v="1"/>
  </r>
  <r>
    <x v="38"/>
    <x v="11"/>
    <x v="0"/>
    <n v="9"/>
    <n v="14000"/>
    <n v="126000"/>
    <x v="0"/>
  </r>
  <r>
    <x v="38"/>
    <x v="5"/>
    <x v="3"/>
    <n v="7"/>
    <n v="5000"/>
    <n v="35000"/>
    <x v="1"/>
  </r>
  <r>
    <x v="39"/>
    <x v="12"/>
    <x v="2"/>
    <n v="1"/>
    <n v="2000"/>
    <n v="2000"/>
    <x v="1"/>
  </r>
  <r>
    <x v="39"/>
    <x v="12"/>
    <x v="2"/>
    <n v="10"/>
    <n v="2000"/>
    <n v="20000"/>
    <x v="1"/>
  </r>
  <r>
    <x v="39"/>
    <x v="12"/>
    <x v="2"/>
    <n v="11"/>
    <n v="2000"/>
    <n v="22000"/>
    <x v="1"/>
  </r>
  <r>
    <x v="39"/>
    <x v="12"/>
    <x v="2"/>
    <n v="15"/>
    <n v="2000"/>
    <n v="30000"/>
    <x v="1"/>
  </r>
  <r>
    <x v="39"/>
    <x v="5"/>
    <x v="3"/>
    <n v="4"/>
    <n v="5000"/>
    <n v="2000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CEFFF5-E569-4306-AE66-35A52D7C789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D32" firstHeaderRow="0" firstDataRow="1" firstDataCol="1"/>
  <pivotFields count="7">
    <pivotField showAll="0">
      <items count="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axis="axisRow" showAll="0">
      <items count="15">
        <item x="2"/>
        <item x="3"/>
        <item x="9"/>
        <item x="11"/>
        <item x="12"/>
        <item x="7"/>
        <item x="0"/>
        <item x="13"/>
        <item x="1"/>
        <item x="5"/>
        <item x="4"/>
        <item x="6"/>
        <item x="10"/>
        <item x="8"/>
        <item t="default"/>
      </items>
    </pivotField>
    <pivotField axis="axisRow" showAll="0">
      <items count="5">
        <item x="1"/>
        <item x="2"/>
        <item x="0"/>
        <item x="3"/>
        <item t="default"/>
      </items>
    </pivotField>
    <pivotField dataField="1" showAll="0"/>
    <pivotField dataField="1" showAll="0"/>
    <pivotField dataField="1" showAll="0"/>
    <pivotField showAll="0">
      <items count="3">
        <item x="1"/>
        <item x="0"/>
        <item t="default"/>
      </items>
    </pivotField>
  </pivotFields>
  <rowFields count="2">
    <field x="1"/>
    <field x="2"/>
  </rowFields>
  <rowItems count="29">
    <i>
      <x/>
    </i>
    <i r="1">
      <x v="1"/>
    </i>
    <i>
      <x v="1"/>
    </i>
    <i r="1">
      <x v="2"/>
    </i>
    <i>
      <x v="2"/>
    </i>
    <i r="1">
      <x v="3"/>
    </i>
    <i>
      <x v="3"/>
    </i>
    <i r="1">
      <x v="2"/>
    </i>
    <i>
      <x v="4"/>
    </i>
    <i r="1">
      <x v="1"/>
    </i>
    <i>
      <x v="5"/>
    </i>
    <i r="1">
      <x/>
    </i>
    <i>
      <x v="6"/>
    </i>
    <i r="1">
      <x v="2"/>
    </i>
    <i>
      <x v="7"/>
    </i>
    <i r="1">
      <x v="3"/>
    </i>
    <i>
      <x v="8"/>
    </i>
    <i r="1">
      <x/>
    </i>
    <i>
      <x v="9"/>
    </i>
    <i r="1">
      <x v="3"/>
    </i>
    <i>
      <x v="10"/>
    </i>
    <i r="1">
      <x v="3"/>
    </i>
    <i>
      <x v="11"/>
    </i>
    <i r="1">
      <x v="1"/>
    </i>
    <i>
      <x v="12"/>
    </i>
    <i r="1">
      <x v="1"/>
    </i>
    <i>
      <x v="13"/>
    </i>
    <i r="1"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Qty" fld="3" baseField="0" baseItem="0"/>
    <dataField name="Sum of Harga Satuan" fld="4" baseField="0" baseItem="0"/>
    <dataField name="Sum of Total" fld="5" baseField="0" baseItem="0"/>
  </dataFields>
  <chartFormats count="3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871AAB-E3F3-474B-B9A9-2F328A090342}" name="Table1" displayName="Table1" ref="A1:G202" totalsRowCount="1">
  <autoFilter ref="A1:G201" xr:uid="{28871AAB-E3F3-474B-B9A9-2F328A090342}"/>
  <tableColumns count="7">
    <tableColumn id="1" xr3:uid="{58BD7710-EBD7-4A51-A842-530D0A5AFC32}" name="Tanggal" totalsRowDxfId="6"/>
    <tableColumn id="2" xr3:uid="{B209FB84-8ABF-4B7D-8043-A73B2B77C086}" name="Nama Produk" totalsRowDxfId="5"/>
    <tableColumn id="3" xr3:uid="{B2998957-24DA-446E-B648-615754770DB8}" name="Kategori" totalsRowDxfId="4"/>
    <tableColumn id="4" xr3:uid="{2BA25707-8189-4046-A98D-D77470721A85}" name="Qty" totalsRowDxfId="3"/>
    <tableColumn id="5" xr3:uid="{5C4EC846-6C78-434B-8767-78E8AA75D3C5}" name="Harga Satuan" totalsRowDxfId="2"/>
    <tableColumn id="6" xr3:uid="{0864906E-E19C-46DC-BE38-9B3E25B590F8}" name="Total" totalsRowFunction="custom">
      <totalsRowFormula>SUM(F2:F201)</totalsRowFormula>
    </tableColumn>
    <tableColumn id="7" xr3:uid="{1B0B9556-A300-4E7B-9807-512A76A30CCB}" name="Column1" dataDxfId="0" totalsRowDxfId="1">
      <calculatedColumnFormula>IF(F2&gt;70000,"Tinggi","Rendah")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75B39-6847-472D-9E71-4726CA5D247A}">
  <dimension ref="A3:D32"/>
  <sheetViews>
    <sheetView workbookViewId="0">
      <selection activeCell="B3" sqref="B3"/>
    </sheetView>
  </sheetViews>
  <sheetFormatPr defaultRowHeight="14.4" x14ac:dyDescent="0.3"/>
  <cols>
    <col min="1" max="1" width="18.33203125" bestFit="1" customWidth="1"/>
    <col min="2" max="2" width="10.44140625" bestFit="1" customWidth="1"/>
    <col min="3" max="3" width="18.88671875" bestFit="1" customWidth="1"/>
    <col min="4" max="4" width="11.6640625" bestFit="1" customWidth="1"/>
  </cols>
  <sheetData>
    <row r="3" spans="1:4" x14ac:dyDescent="0.3">
      <c r="A3" s="6" t="s">
        <v>66</v>
      </c>
      <c r="B3" t="s">
        <v>68</v>
      </c>
      <c r="C3" t="s">
        <v>69</v>
      </c>
      <c r="D3" t="s">
        <v>70</v>
      </c>
    </row>
    <row r="4" spans="1:4" x14ac:dyDescent="0.3">
      <c r="A4" s="7" t="s">
        <v>11</v>
      </c>
      <c r="B4">
        <v>105</v>
      </c>
      <c r="C4">
        <v>36000</v>
      </c>
      <c r="D4">
        <v>315000</v>
      </c>
    </row>
    <row r="5" spans="1:4" x14ac:dyDescent="0.3">
      <c r="A5" s="8" t="s">
        <v>12</v>
      </c>
      <c r="B5">
        <v>105</v>
      </c>
      <c r="C5">
        <v>36000</v>
      </c>
      <c r="D5">
        <v>315000</v>
      </c>
    </row>
    <row r="6" spans="1:4" x14ac:dyDescent="0.3">
      <c r="A6" s="7" t="s">
        <v>13</v>
      </c>
      <c r="B6">
        <v>62</v>
      </c>
      <c r="C6">
        <v>675000</v>
      </c>
      <c r="D6">
        <v>4650000</v>
      </c>
    </row>
    <row r="7" spans="1:4" x14ac:dyDescent="0.3">
      <c r="A7" s="8" t="s">
        <v>8</v>
      </c>
      <c r="B7">
        <v>62</v>
      </c>
      <c r="C7">
        <v>675000</v>
      </c>
      <c r="D7">
        <v>4650000</v>
      </c>
    </row>
    <row r="8" spans="1:4" x14ac:dyDescent="0.3">
      <c r="A8" s="7" t="s">
        <v>22</v>
      </c>
      <c r="B8">
        <v>136</v>
      </c>
      <c r="C8">
        <v>195000</v>
      </c>
      <c r="D8">
        <v>2040000</v>
      </c>
    </row>
    <row r="9" spans="1:4" x14ac:dyDescent="0.3">
      <c r="A9" s="8" t="s">
        <v>15</v>
      </c>
      <c r="B9">
        <v>136</v>
      </c>
      <c r="C9">
        <v>195000</v>
      </c>
      <c r="D9">
        <v>2040000</v>
      </c>
    </row>
    <row r="10" spans="1:4" x14ac:dyDescent="0.3">
      <c r="A10" s="7" t="s">
        <v>25</v>
      </c>
      <c r="B10">
        <v>144</v>
      </c>
      <c r="C10">
        <v>238000</v>
      </c>
      <c r="D10">
        <v>2016000</v>
      </c>
    </row>
    <row r="11" spans="1:4" x14ac:dyDescent="0.3">
      <c r="A11" s="8" t="s">
        <v>8</v>
      </c>
      <c r="B11">
        <v>144</v>
      </c>
      <c r="C11">
        <v>238000</v>
      </c>
      <c r="D11">
        <v>2016000</v>
      </c>
    </row>
    <row r="12" spans="1:4" x14ac:dyDescent="0.3">
      <c r="A12" s="7" t="s">
        <v>29</v>
      </c>
      <c r="B12">
        <v>91</v>
      </c>
      <c r="C12">
        <v>22000</v>
      </c>
      <c r="D12">
        <v>182000</v>
      </c>
    </row>
    <row r="13" spans="1:4" x14ac:dyDescent="0.3">
      <c r="A13" s="8" t="s">
        <v>12</v>
      </c>
      <c r="B13">
        <v>91</v>
      </c>
      <c r="C13">
        <v>22000</v>
      </c>
      <c r="D13">
        <v>182000</v>
      </c>
    </row>
    <row r="14" spans="1:4" x14ac:dyDescent="0.3">
      <c r="A14" s="7" t="s">
        <v>20</v>
      </c>
      <c r="B14">
        <v>125</v>
      </c>
      <c r="C14">
        <v>56000</v>
      </c>
      <c r="D14">
        <v>437500</v>
      </c>
    </row>
    <row r="15" spans="1:4" x14ac:dyDescent="0.3">
      <c r="A15" s="8" t="s">
        <v>10</v>
      </c>
      <c r="B15">
        <v>125</v>
      </c>
      <c r="C15">
        <v>56000</v>
      </c>
      <c r="D15">
        <v>437500</v>
      </c>
    </row>
    <row r="16" spans="1:4" x14ac:dyDescent="0.3">
      <c r="A16" s="7" t="s">
        <v>7</v>
      </c>
      <c r="B16">
        <v>93</v>
      </c>
      <c r="C16">
        <v>180000</v>
      </c>
      <c r="D16">
        <v>1674000</v>
      </c>
    </row>
    <row r="17" spans="1:4" x14ac:dyDescent="0.3">
      <c r="A17" s="8" t="s">
        <v>8</v>
      </c>
      <c r="B17">
        <v>93</v>
      </c>
      <c r="C17">
        <v>180000</v>
      </c>
      <c r="D17">
        <v>1674000</v>
      </c>
    </row>
    <row r="18" spans="1:4" x14ac:dyDescent="0.3">
      <c r="A18" s="7" t="s">
        <v>37</v>
      </c>
      <c r="B18">
        <v>85</v>
      </c>
      <c r="C18">
        <v>120000</v>
      </c>
      <c r="D18">
        <v>1020000</v>
      </c>
    </row>
    <row r="19" spans="1:4" x14ac:dyDescent="0.3">
      <c r="A19" s="8" t="s">
        <v>15</v>
      </c>
      <c r="B19">
        <v>85</v>
      </c>
      <c r="C19">
        <v>120000</v>
      </c>
      <c r="D19">
        <v>1020000</v>
      </c>
    </row>
    <row r="20" spans="1:4" x14ac:dyDescent="0.3">
      <c r="A20" s="7" t="s">
        <v>9</v>
      </c>
      <c r="B20">
        <v>115</v>
      </c>
      <c r="C20">
        <v>204000</v>
      </c>
      <c r="D20">
        <v>1380000</v>
      </c>
    </row>
    <row r="21" spans="1:4" x14ac:dyDescent="0.3">
      <c r="A21" s="8" t="s">
        <v>10</v>
      </c>
      <c r="B21">
        <v>115</v>
      </c>
      <c r="C21">
        <v>204000</v>
      </c>
      <c r="D21">
        <v>1380000</v>
      </c>
    </row>
    <row r="22" spans="1:4" x14ac:dyDescent="0.3">
      <c r="A22" s="7" t="s">
        <v>17</v>
      </c>
      <c r="B22">
        <v>145</v>
      </c>
      <c r="C22">
        <v>105000</v>
      </c>
      <c r="D22">
        <v>725000</v>
      </c>
    </row>
    <row r="23" spans="1:4" x14ac:dyDescent="0.3">
      <c r="A23" s="8" t="s">
        <v>15</v>
      </c>
      <c r="B23">
        <v>145</v>
      </c>
      <c r="C23">
        <v>105000</v>
      </c>
      <c r="D23">
        <v>725000</v>
      </c>
    </row>
    <row r="24" spans="1:4" x14ac:dyDescent="0.3">
      <c r="A24" s="7" t="s">
        <v>14</v>
      </c>
      <c r="B24">
        <v>129</v>
      </c>
      <c r="C24">
        <v>375000</v>
      </c>
      <c r="D24">
        <v>3225000</v>
      </c>
    </row>
    <row r="25" spans="1:4" x14ac:dyDescent="0.3">
      <c r="A25" s="8" t="s">
        <v>15</v>
      </c>
      <c r="B25">
        <v>129</v>
      </c>
      <c r="C25">
        <v>375000</v>
      </c>
      <c r="D25">
        <v>3225000</v>
      </c>
    </row>
    <row r="26" spans="1:4" x14ac:dyDescent="0.3">
      <c r="A26" s="7" t="s">
        <v>18</v>
      </c>
      <c r="B26">
        <v>138</v>
      </c>
      <c r="C26">
        <v>126000</v>
      </c>
      <c r="D26">
        <v>966000</v>
      </c>
    </row>
    <row r="27" spans="1:4" x14ac:dyDescent="0.3">
      <c r="A27" s="8" t="s">
        <v>12</v>
      </c>
      <c r="B27">
        <v>138</v>
      </c>
      <c r="C27">
        <v>126000</v>
      </c>
      <c r="D27">
        <v>966000</v>
      </c>
    </row>
    <row r="28" spans="1:4" x14ac:dyDescent="0.3">
      <c r="A28" s="7" t="s">
        <v>24</v>
      </c>
      <c r="B28">
        <v>152</v>
      </c>
      <c r="C28">
        <v>85000</v>
      </c>
      <c r="D28">
        <v>760000</v>
      </c>
    </row>
    <row r="29" spans="1:4" x14ac:dyDescent="0.3">
      <c r="A29" s="8" t="s">
        <v>12</v>
      </c>
      <c r="B29">
        <v>152</v>
      </c>
      <c r="C29">
        <v>85000</v>
      </c>
      <c r="D29">
        <v>760000</v>
      </c>
    </row>
    <row r="30" spans="1:4" x14ac:dyDescent="0.3">
      <c r="A30" s="7" t="s">
        <v>21</v>
      </c>
      <c r="B30">
        <v>94</v>
      </c>
      <c r="C30">
        <v>420000</v>
      </c>
      <c r="D30">
        <v>2820000</v>
      </c>
    </row>
    <row r="31" spans="1:4" x14ac:dyDescent="0.3">
      <c r="A31" s="8" t="s">
        <v>8</v>
      </c>
      <c r="B31">
        <v>94</v>
      </c>
      <c r="C31">
        <v>420000</v>
      </c>
      <c r="D31">
        <v>2820000</v>
      </c>
    </row>
    <row r="32" spans="1:4" x14ac:dyDescent="0.3">
      <c r="A32" s="7" t="s">
        <v>67</v>
      </c>
      <c r="B32">
        <v>1614</v>
      </c>
      <c r="C32">
        <v>2837000</v>
      </c>
      <c r="D32">
        <v>22210500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7"/>
  <sheetViews>
    <sheetView tabSelected="1" topLeftCell="A2" workbookViewId="0">
      <selection activeCell="G3" sqref="G3"/>
    </sheetView>
  </sheetViews>
  <sheetFormatPr defaultRowHeight="14.4" x14ac:dyDescent="0.3"/>
  <cols>
    <col min="1" max="1" width="9.44140625" customWidth="1"/>
    <col min="2" max="2" width="14.44140625" customWidth="1"/>
    <col min="3" max="3" width="9.88671875" customWidth="1"/>
    <col min="5" max="5" width="14.1093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64</v>
      </c>
    </row>
    <row r="2" spans="1:7" x14ac:dyDescent="0.3">
      <c r="A2" t="s">
        <v>6</v>
      </c>
      <c r="B2" t="s">
        <v>7</v>
      </c>
      <c r="C2" t="s">
        <v>8</v>
      </c>
      <c r="D2">
        <v>8</v>
      </c>
      <c r="E2">
        <v>18000</v>
      </c>
      <c r="F2">
        <v>144000</v>
      </c>
      <c r="G2" t="str">
        <f t="shared" ref="G2:G33" si="0">IF(F2&gt;70000,"Tinggi","Rendah")</f>
        <v>Tinggi</v>
      </c>
    </row>
    <row r="3" spans="1:7" x14ac:dyDescent="0.3">
      <c r="A3" t="s">
        <v>6</v>
      </c>
      <c r="B3" t="s">
        <v>9</v>
      </c>
      <c r="C3" t="s">
        <v>10</v>
      </c>
      <c r="D3">
        <v>7</v>
      </c>
      <c r="E3">
        <v>12000</v>
      </c>
      <c r="F3">
        <v>84000</v>
      </c>
      <c r="G3" t="str">
        <f t="shared" si="0"/>
        <v>Tinggi</v>
      </c>
    </row>
    <row r="4" spans="1:7" x14ac:dyDescent="0.3">
      <c r="A4" t="s">
        <v>6</v>
      </c>
      <c r="B4" t="s">
        <v>11</v>
      </c>
      <c r="C4" t="s">
        <v>12</v>
      </c>
      <c r="D4">
        <v>10</v>
      </c>
      <c r="E4">
        <v>3000</v>
      </c>
      <c r="F4">
        <v>30000</v>
      </c>
      <c r="G4" t="str">
        <f t="shared" si="0"/>
        <v>Rendah</v>
      </c>
    </row>
    <row r="5" spans="1:7" x14ac:dyDescent="0.3">
      <c r="A5" t="s">
        <v>6</v>
      </c>
      <c r="B5" t="s">
        <v>13</v>
      </c>
      <c r="C5" t="s">
        <v>8</v>
      </c>
      <c r="D5">
        <v>13</v>
      </c>
      <c r="E5">
        <v>75000</v>
      </c>
      <c r="F5">
        <v>975000</v>
      </c>
      <c r="G5" t="str">
        <f t="shared" si="0"/>
        <v>Tinggi</v>
      </c>
    </row>
    <row r="6" spans="1:7" x14ac:dyDescent="0.3">
      <c r="A6" t="s">
        <v>6</v>
      </c>
      <c r="B6" t="s">
        <v>14</v>
      </c>
      <c r="C6" t="s">
        <v>15</v>
      </c>
      <c r="D6">
        <v>10</v>
      </c>
      <c r="E6">
        <v>25000</v>
      </c>
      <c r="F6">
        <v>250000</v>
      </c>
      <c r="G6" t="str">
        <f t="shared" si="0"/>
        <v>Tinggi</v>
      </c>
    </row>
    <row r="7" spans="1:7" x14ac:dyDescent="0.3">
      <c r="A7" t="s">
        <v>16</v>
      </c>
      <c r="B7" t="s">
        <v>14</v>
      </c>
      <c r="C7" t="s">
        <v>15</v>
      </c>
      <c r="D7">
        <v>6</v>
      </c>
      <c r="E7">
        <v>25000</v>
      </c>
      <c r="F7">
        <v>150000</v>
      </c>
      <c r="G7" t="str">
        <f t="shared" si="0"/>
        <v>Tinggi</v>
      </c>
    </row>
    <row r="8" spans="1:7" x14ac:dyDescent="0.3">
      <c r="A8" t="s">
        <v>16</v>
      </c>
      <c r="B8" t="s">
        <v>17</v>
      </c>
      <c r="C8" t="s">
        <v>15</v>
      </c>
      <c r="D8">
        <v>2</v>
      </c>
      <c r="E8">
        <v>5000</v>
      </c>
      <c r="F8">
        <v>10000</v>
      </c>
      <c r="G8" t="str">
        <f t="shared" si="0"/>
        <v>Rendah</v>
      </c>
    </row>
    <row r="9" spans="1:7" x14ac:dyDescent="0.3">
      <c r="A9" t="s">
        <v>16</v>
      </c>
      <c r="B9" t="s">
        <v>18</v>
      </c>
      <c r="C9" t="s">
        <v>12</v>
      </c>
      <c r="D9">
        <v>7</v>
      </c>
      <c r="E9">
        <v>7000</v>
      </c>
      <c r="F9">
        <v>49000</v>
      </c>
      <c r="G9" t="str">
        <f t="shared" si="0"/>
        <v>Rendah</v>
      </c>
    </row>
    <row r="10" spans="1:7" x14ac:dyDescent="0.3">
      <c r="A10" t="s">
        <v>16</v>
      </c>
      <c r="B10" t="s">
        <v>17</v>
      </c>
      <c r="C10" t="s">
        <v>15</v>
      </c>
      <c r="D10">
        <v>6</v>
      </c>
      <c r="E10">
        <v>5000</v>
      </c>
      <c r="F10">
        <v>30000</v>
      </c>
      <c r="G10" t="str">
        <f t="shared" si="0"/>
        <v>Rendah</v>
      </c>
    </row>
    <row r="11" spans="1:7" x14ac:dyDescent="0.3">
      <c r="A11" t="s">
        <v>16</v>
      </c>
      <c r="B11" t="s">
        <v>14</v>
      </c>
      <c r="C11" t="s">
        <v>15</v>
      </c>
      <c r="D11">
        <v>4</v>
      </c>
      <c r="E11">
        <v>25000</v>
      </c>
      <c r="F11">
        <v>100000</v>
      </c>
      <c r="G11" t="str">
        <f t="shared" si="0"/>
        <v>Tinggi</v>
      </c>
    </row>
    <row r="12" spans="1:7" x14ac:dyDescent="0.3">
      <c r="A12" t="s">
        <v>19</v>
      </c>
      <c r="B12" t="s">
        <v>20</v>
      </c>
      <c r="C12" t="s">
        <v>10</v>
      </c>
      <c r="D12">
        <v>13</v>
      </c>
      <c r="E12">
        <v>3500</v>
      </c>
      <c r="F12">
        <v>45500</v>
      </c>
      <c r="G12" t="str">
        <f t="shared" si="0"/>
        <v>Rendah</v>
      </c>
    </row>
    <row r="13" spans="1:7" x14ac:dyDescent="0.3">
      <c r="A13" t="s">
        <v>19</v>
      </c>
      <c r="B13" t="s">
        <v>21</v>
      </c>
      <c r="C13" t="s">
        <v>8</v>
      </c>
      <c r="D13">
        <v>2</v>
      </c>
      <c r="E13">
        <v>30000</v>
      </c>
      <c r="F13">
        <v>60000</v>
      </c>
      <c r="G13" t="str">
        <f t="shared" si="0"/>
        <v>Rendah</v>
      </c>
    </row>
    <row r="14" spans="1:7" x14ac:dyDescent="0.3">
      <c r="A14" t="s">
        <v>19</v>
      </c>
      <c r="B14" t="s">
        <v>17</v>
      </c>
      <c r="C14" t="s">
        <v>15</v>
      </c>
      <c r="D14">
        <v>15</v>
      </c>
      <c r="E14">
        <v>5000</v>
      </c>
      <c r="F14">
        <v>75000</v>
      </c>
      <c r="G14" t="str">
        <f t="shared" si="0"/>
        <v>Tinggi</v>
      </c>
    </row>
    <row r="15" spans="1:7" x14ac:dyDescent="0.3">
      <c r="A15" t="s">
        <v>19</v>
      </c>
      <c r="B15" t="s">
        <v>18</v>
      </c>
      <c r="C15" t="s">
        <v>12</v>
      </c>
      <c r="D15">
        <v>14</v>
      </c>
      <c r="E15">
        <v>7000</v>
      </c>
      <c r="F15">
        <v>98000</v>
      </c>
      <c r="G15" t="str">
        <f t="shared" si="0"/>
        <v>Tinggi</v>
      </c>
    </row>
    <row r="16" spans="1:7" x14ac:dyDescent="0.3">
      <c r="A16" t="s">
        <v>19</v>
      </c>
      <c r="B16" t="s">
        <v>22</v>
      </c>
      <c r="C16" t="s">
        <v>15</v>
      </c>
      <c r="D16">
        <v>9</v>
      </c>
      <c r="E16">
        <v>15000</v>
      </c>
      <c r="F16">
        <v>135000</v>
      </c>
      <c r="G16" t="str">
        <f t="shared" si="0"/>
        <v>Tinggi</v>
      </c>
    </row>
    <row r="17" spans="1:7" x14ac:dyDescent="0.3">
      <c r="A17" t="s">
        <v>23</v>
      </c>
      <c r="B17" t="s">
        <v>17</v>
      </c>
      <c r="C17" t="s">
        <v>15</v>
      </c>
      <c r="D17">
        <v>8</v>
      </c>
      <c r="E17">
        <v>5000</v>
      </c>
      <c r="F17">
        <v>40000</v>
      </c>
      <c r="G17" t="str">
        <f t="shared" si="0"/>
        <v>Rendah</v>
      </c>
    </row>
    <row r="18" spans="1:7" x14ac:dyDescent="0.3">
      <c r="A18" t="s">
        <v>23</v>
      </c>
      <c r="B18" t="s">
        <v>20</v>
      </c>
      <c r="C18" t="s">
        <v>10</v>
      </c>
      <c r="D18">
        <v>4</v>
      </c>
      <c r="E18">
        <v>3500</v>
      </c>
      <c r="F18">
        <v>14000</v>
      </c>
      <c r="G18" t="str">
        <f t="shared" si="0"/>
        <v>Rendah</v>
      </c>
    </row>
    <row r="19" spans="1:7" x14ac:dyDescent="0.3">
      <c r="A19" t="s">
        <v>23</v>
      </c>
      <c r="B19" t="s">
        <v>18</v>
      </c>
      <c r="C19" t="s">
        <v>12</v>
      </c>
      <c r="D19">
        <v>5</v>
      </c>
      <c r="E19">
        <v>7000</v>
      </c>
      <c r="F19">
        <v>35000</v>
      </c>
      <c r="G19" t="str">
        <f t="shared" si="0"/>
        <v>Rendah</v>
      </c>
    </row>
    <row r="20" spans="1:7" x14ac:dyDescent="0.3">
      <c r="A20" t="s">
        <v>23</v>
      </c>
      <c r="B20" t="s">
        <v>24</v>
      </c>
      <c r="C20" t="s">
        <v>12</v>
      </c>
      <c r="D20">
        <v>13</v>
      </c>
      <c r="E20">
        <v>5000</v>
      </c>
      <c r="F20">
        <v>65000</v>
      </c>
      <c r="G20" t="str">
        <f t="shared" si="0"/>
        <v>Rendah</v>
      </c>
    </row>
    <row r="21" spans="1:7" x14ac:dyDescent="0.3">
      <c r="A21" t="s">
        <v>23</v>
      </c>
      <c r="B21" t="s">
        <v>25</v>
      </c>
      <c r="C21" t="s">
        <v>8</v>
      </c>
      <c r="D21">
        <v>2</v>
      </c>
      <c r="E21">
        <v>14000</v>
      </c>
      <c r="F21">
        <v>28000</v>
      </c>
      <c r="G21" t="str">
        <f t="shared" si="0"/>
        <v>Rendah</v>
      </c>
    </row>
    <row r="22" spans="1:7" x14ac:dyDescent="0.3">
      <c r="A22" t="s">
        <v>26</v>
      </c>
      <c r="B22" t="s">
        <v>21</v>
      </c>
      <c r="C22" t="s">
        <v>8</v>
      </c>
      <c r="D22">
        <v>9</v>
      </c>
      <c r="E22">
        <v>30000</v>
      </c>
      <c r="F22">
        <v>270000</v>
      </c>
      <c r="G22" t="str">
        <f t="shared" si="0"/>
        <v>Tinggi</v>
      </c>
    </row>
    <row r="23" spans="1:7" x14ac:dyDescent="0.3">
      <c r="A23" t="s">
        <v>26</v>
      </c>
      <c r="B23" t="s">
        <v>24</v>
      </c>
      <c r="C23" t="s">
        <v>12</v>
      </c>
      <c r="D23">
        <v>13</v>
      </c>
      <c r="E23">
        <v>5000</v>
      </c>
      <c r="F23">
        <v>65000</v>
      </c>
      <c r="G23" t="str">
        <f t="shared" si="0"/>
        <v>Rendah</v>
      </c>
    </row>
    <row r="24" spans="1:7" x14ac:dyDescent="0.3">
      <c r="A24" t="s">
        <v>26</v>
      </c>
      <c r="B24" t="s">
        <v>17</v>
      </c>
      <c r="C24" t="s">
        <v>15</v>
      </c>
      <c r="D24">
        <v>4</v>
      </c>
      <c r="E24">
        <v>5000</v>
      </c>
      <c r="F24">
        <v>20000</v>
      </c>
      <c r="G24" t="str">
        <f t="shared" si="0"/>
        <v>Rendah</v>
      </c>
    </row>
    <row r="25" spans="1:7" x14ac:dyDescent="0.3">
      <c r="A25" t="s">
        <v>26</v>
      </c>
      <c r="B25" t="s">
        <v>11</v>
      </c>
      <c r="C25" t="s">
        <v>12</v>
      </c>
      <c r="D25">
        <v>1</v>
      </c>
      <c r="E25">
        <v>3000</v>
      </c>
      <c r="F25">
        <v>3000</v>
      </c>
      <c r="G25" t="str">
        <f t="shared" si="0"/>
        <v>Rendah</v>
      </c>
    </row>
    <row r="26" spans="1:7" x14ac:dyDescent="0.3">
      <c r="A26" t="s">
        <v>26</v>
      </c>
      <c r="B26" t="s">
        <v>14</v>
      </c>
      <c r="C26" t="s">
        <v>15</v>
      </c>
      <c r="D26">
        <v>2</v>
      </c>
      <c r="E26">
        <v>25000</v>
      </c>
      <c r="F26">
        <v>50000</v>
      </c>
      <c r="G26" t="str">
        <f t="shared" si="0"/>
        <v>Rendah</v>
      </c>
    </row>
    <row r="27" spans="1:7" x14ac:dyDescent="0.3">
      <c r="A27" t="s">
        <v>27</v>
      </c>
      <c r="B27" t="s">
        <v>18</v>
      </c>
      <c r="C27" t="s">
        <v>12</v>
      </c>
      <c r="D27">
        <v>13</v>
      </c>
      <c r="E27">
        <v>7000</v>
      </c>
      <c r="F27">
        <v>91000</v>
      </c>
      <c r="G27" t="str">
        <f t="shared" si="0"/>
        <v>Tinggi</v>
      </c>
    </row>
    <row r="28" spans="1:7" x14ac:dyDescent="0.3">
      <c r="A28" t="s">
        <v>27</v>
      </c>
      <c r="B28" t="s">
        <v>14</v>
      </c>
      <c r="C28" t="s">
        <v>15</v>
      </c>
      <c r="D28">
        <v>11</v>
      </c>
      <c r="E28">
        <v>25000</v>
      </c>
      <c r="F28">
        <v>275000</v>
      </c>
      <c r="G28" t="str">
        <f t="shared" si="0"/>
        <v>Tinggi</v>
      </c>
    </row>
    <row r="29" spans="1:7" x14ac:dyDescent="0.3">
      <c r="A29" t="s">
        <v>27</v>
      </c>
      <c r="B29" t="s">
        <v>25</v>
      </c>
      <c r="C29" t="s">
        <v>8</v>
      </c>
      <c r="D29">
        <v>9</v>
      </c>
      <c r="E29">
        <v>14000</v>
      </c>
      <c r="F29">
        <v>126000</v>
      </c>
      <c r="G29" t="str">
        <f t="shared" si="0"/>
        <v>Tinggi</v>
      </c>
    </row>
    <row r="30" spans="1:7" x14ac:dyDescent="0.3">
      <c r="A30" t="s">
        <v>27</v>
      </c>
      <c r="B30" t="s">
        <v>24</v>
      </c>
      <c r="C30" t="s">
        <v>12</v>
      </c>
      <c r="D30">
        <v>1</v>
      </c>
      <c r="E30">
        <v>5000</v>
      </c>
      <c r="F30">
        <v>5000</v>
      </c>
      <c r="G30" t="str">
        <f t="shared" si="0"/>
        <v>Rendah</v>
      </c>
    </row>
    <row r="31" spans="1:7" x14ac:dyDescent="0.3">
      <c r="A31" t="s">
        <v>27</v>
      </c>
      <c r="B31" t="s">
        <v>18</v>
      </c>
      <c r="C31" t="s">
        <v>12</v>
      </c>
      <c r="D31">
        <v>4</v>
      </c>
      <c r="E31">
        <v>7000</v>
      </c>
      <c r="F31">
        <v>28000</v>
      </c>
      <c r="G31" t="str">
        <f t="shared" si="0"/>
        <v>Rendah</v>
      </c>
    </row>
    <row r="32" spans="1:7" x14ac:dyDescent="0.3">
      <c r="A32" t="s">
        <v>28</v>
      </c>
      <c r="B32" t="s">
        <v>7</v>
      </c>
      <c r="C32" t="s">
        <v>8</v>
      </c>
      <c r="D32">
        <v>10</v>
      </c>
      <c r="E32">
        <v>18000</v>
      </c>
      <c r="F32">
        <v>180000</v>
      </c>
      <c r="G32" t="str">
        <f t="shared" si="0"/>
        <v>Tinggi</v>
      </c>
    </row>
    <row r="33" spans="1:7" x14ac:dyDescent="0.3">
      <c r="A33" t="s">
        <v>28</v>
      </c>
      <c r="B33" t="s">
        <v>21</v>
      </c>
      <c r="C33" t="s">
        <v>8</v>
      </c>
      <c r="D33">
        <v>1</v>
      </c>
      <c r="E33">
        <v>30000</v>
      </c>
      <c r="F33">
        <v>30000</v>
      </c>
      <c r="G33" t="str">
        <f t="shared" si="0"/>
        <v>Rendah</v>
      </c>
    </row>
    <row r="34" spans="1:7" x14ac:dyDescent="0.3">
      <c r="A34" t="s">
        <v>28</v>
      </c>
      <c r="B34" t="s">
        <v>29</v>
      </c>
      <c r="C34" t="s">
        <v>12</v>
      </c>
      <c r="D34">
        <v>4</v>
      </c>
      <c r="E34">
        <v>2000</v>
      </c>
      <c r="F34">
        <v>8000</v>
      </c>
      <c r="G34" t="str">
        <f t="shared" ref="G34:G65" si="1">IF(F34&gt;70000,"Tinggi","Rendah")</f>
        <v>Rendah</v>
      </c>
    </row>
    <row r="35" spans="1:7" x14ac:dyDescent="0.3">
      <c r="A35" t="s">
        <v>28</v>
      </c>
      <c r="B35" t="s">
        <v>9</v>
      </c>
      <c r="C35" t="s">
        <v>10</v>
      </c>
      <c r="D35">
        <v>6</v>
      </c>
      <c r="E35">
        <v>12000</v>
      </c>
      <c r="F35">
        <v>72000</v>
      </c>
      <c r="G35" t="str">
        <f t="shared" si="1"/>
        <v>Tinggi</v>
      </c>
    </row>
    <row r="36" spans="1:7" x14ac:dyDescent="0.3">
      <c r="A36" t="s">
        <v>28</v>
      </c>
      <c r="B36" t="s">
        <v>18</v>
      </c>
      <c r="C36" t="s">
        <v>12</v>
      </c>
      <c r="D36">
        <v>5</v>
      </c>
      <c r="E36">
        <v>7000</v>
      </c>
      <c r="F36">
        <v>35000</v>
      </c>
      <c r="G36" t="str">
        <f t="shared" si="1"/>
        <v>Rendah</v>
      </c>
    </row>
    <row r="37" spans="1:7" x14ac:dyDescent="0.3">
      <c r="A37" t="s">
        <v>30</v>
      </c>
      <c r="B37" t="s">
        <v>13</v>
      </c>
      <c r="C37" t="s">
        <v>8</v>
      </c>
      <c r="D37">
        <v>2</v>
      </c>
      <c r="E37">
        <v>75000</v>
      </c>
      <c r="F37">
        <v>150000</v>
      </c>
      <c r="G37" t="str">
        <f t="shared" si="1"/>
        <v>Tinggi</v>
      </c>
    </row>
    <row r="38" spans="1:7" x14ac:dyDescent="0.3">
      <c r="A38" t="s">
        <v>30</v>
      </c>
      <c r="B38" t="s">
        <v>18</v>
      </c>
      <c r="C38" t="s">
        <v>12</v>
      </c>
      <c r="D38">
        <v>8</v>
      </c>
      <c r="E38">
        <v>7000</v>
      </c>
      <c r="F38">
        <v>56000</v>
      </c>
      <c r="G38" t="str">
        <f t="shared" si="1"/>
        <v>Rendah</v>
      </c>
    </row>
    <row r="39" spans="1:7" x14ac:dyDescent="0.3">
      <c r="A39" t="s">
        <v>30</v>
      </c>
      <c r="B39" t="s">
        <v>20</v>
      </c>
      <c r="C39" t="s">
        <v>10</v>
      </c>
      <c r="D39">
        <v>11</v>
      </c>
      <c r="E39">
        <v>3500</v>
      </c>
      <c r="F39">
        <v>38500</v>
      </c>
      <c r="G39" t="str">
        <f t="shared" si="1"/>
        <v>Rendah</v>
      </c>
    </row>
    <row r="40" spans="1:7" x14ac:dyDescent="0.3">
      <c r="A40" t="s">
        <v>30</v>
      </c>
      <c r="B40" t="s">
        <v>21</v>
      </c>
      <c r="C40" t="s">
        <v>8</v>
      </c>
      <c r="D40">
        <v>12</v>
      </c>
      <c r="E40">
        <v>30000</v>
      </c>
      <c r="F40">
        <v>360000</v>
      </c>
      <c r="G40" t="str">
        <f t="shared" si="1"/>
        <v>Tinggi</v>
      </c>
    </row>
    <row r="41" spans="1:7" x14ac:dyDescent="0.3">
      <c r="A41" t="s">
        <v>30</v>
      </c>
      <c r="B41" t="s">
        <v>13</v>
      </c>
      <c r="C41" t="s">
        <v>8</v>
      </c>
      <c r="D41">
        <v>10</v>
      </c>
      <c r="E41">
        <v>75000</v>
      </c>
      <c r="F41">
        <v>750000</v>
      </c>
      <c r="G41" t="str">
        <f t="shared" si="1"/>
        <v>Tinggi</v>
      </c>
    </row>
    <row r="42" spans="1:7" x14ac:dyDescent="0.3">
      <c r="A42" t="s">
        <v>31</v>
      </c>
      <c r="B42" t="s">
        <v>20</v>
      </c>
      <c r="C42" t="s">
        <v>10</v>
      </c>
      <c r="D42">
        <v>9</v>
      </c>
      <c r="E42">
        <v>3500</v>
      </c>
      <c r="F42">
        <v>31500</v>
      </c>
      <c r="G42" t="str">
        <f t="shared" si="1"/>
        <v>Rendah</v>
      </c>
    </row>
    <row r="43" spans="1:7" x14ac:dyDescent="0.3">
      <c r="A43" t="s">
        <v>31</v>
      </c>
      <c r="B43" t="s">
        <v>18</v>
      </c>
      <c r="C43" t="s">
        <v>12</v>
      </c>
      <c r="D43">
        <v>6</v>
      </c>
      <c r="E43">
        <v>7000</v>
      </c>
      <c r="F43">
        <v>42000</v>
      </c>
      <c r="G43" t="str">
        <f t="shared" si="1"/>
        <v>Rendah</v>
      </c>
    </row>
    <row r="44" spans="1:7" x14ac:dyDescent="0.3">
      <c r="A44" t="s">
        <v>31</v>
      </c>
      <c r="B44" t="s">
        <v>29</v>
      </c>
      <c r="C44" t="s">
        <v>12</v>
      </c>
      <c r="D44">
        <v>4</v>
      </c>
      <c r="E44">
        <v>2000</v>
      </c>
      <c r="F44">
        <v>8000</v>
      </c>
      <c r="G44" t="str">
        <f t="shared" si="1"/>
        <v>Rendah</v>
      </c>
    </row>
    <row r="45" spans="1:7" x14ac:dyDescent="0.3">
      <c r="A45" t="s">
        <v>31</v>
      </c>
      <c r="B45" t="s">
        <v>24</v>
      </c>
      <c r="C45" t="s">
        <v>12</v>
      </c>
      <c r="D45">
        <v>13</v>
      </c>
      <c r="E45">
        <v>5000</v>
      </c>
      <c r="F45">
        <v>65000</v>
      </c>
      <c r="G45" t="str">
        <f t="shared" si="1"/>
        <v>Rendah</v>
      </c>
    </row>
    <row r="46" spans="1:7" x14ac:dyDescent="0.3">
      <c r="A46" t="s">
        <v>31</v>
      </c>
      <c r="B46" t="s">
        <v>17</v>
      </c>
      <c r="C46" t="s">
        <v>15</v>
      </c>
      <c r="D46">
        <v>1</v>
      </c>
      <c r="E46">
        <v>5000</v>
      </c>
      <c r="F46">
        <v>5000</v>
      </c>
      <c r="G46" t="str">
        <f t="shared" si="1"/>
        <v>Rendah</v>
      </c>
    </row>
    <row r="47" spans="1:7" x14ac:dyDescent="0.3">
      <c r="A47" t="s">
        <v>32</v>
      </c>
      <c r="B47" t="s">
        <v>9</v>
      </c>
      <c r="C47" t="s">
        <v>10</v>
      </c>
      <c r="D47">
        <v>1</v>
      </c>
      <c r="E47">
        <v>12000</v>
      </c>
      <c r="F47">
        <v>12000</v>
      </c>
      <c r="G47" t="str">
        <f t="shared" si="1"/>
        <v>Rendah</v>
      </c>
    </row>
    <row r="48" spans="1:7" x14ac:dyDescent="0.3">
      <c r="A48" t="s">
        <v>32</v>
      </c>
      <c r="B48" t="s">
        <v>20</v>
      </c>
      <c r="C48" t="s">
        <v>10</v>
      </c>
      <c r="D48">
        <v>10</v>
      </c>
      <c r="E48">
        <v>3500</v>
      </c>
      <c r="F48">
        <v>35000</v>
      </c>
      <c r="G48" t="str">
        <f t="shared" si="1"/>
        <v>Rendah</v>
      </c>
    </row>
    <row r="49" spans="1:7" x14ac:dyDescent="0.3">
      <c r="A49" t="s">
        <v>32</v>
      </c>
      <c r="B49" t="s">
        <v>17</v>
      </c>
      <c r="C49" t="s">
        <v>15</v>
      </c>
      <c r="D49">
        <v>3</v>
      </c>
      <c r="E49">
        <v>5000</v>
      </c>
      <c r="F49">
        <v>15000</v>
      </c>
      <c r="G49" t="str">
        <f t="shared" si="1"/>
        <v>Rendah</v>
      </c>
    </row>
    <row r="50" spans="1:7" x14ac:dyDescent="0.3">
      <c r="A50" t="s">
        <v>32</v>
      </c>
      <c r="B50" t="s">
        <v>25</v>
      </c>
      <c r="C50" t="s">
        <v>8</v>
      </c>
      <c r="D50">
        <v>8</v>
      </c>
      <c r="E50">
        <v>14000</v>
      </c>
      <c r="F50">
        <v>112000</v>
      </c>
      <c r="G50" t="str">
        <f t="shared" si="1"/>
        <v>Tinggi</v>
      </c>
    </row>
    <row r="51" spans="1:7" x14ac:dyDescent="0.3">
      <c r="A51" t="s">
        <v>32</v>
      </c>
      <c r="B51" t="s">
        <v>21</v>
      </c>
      <c r="C51" t="s">
        <v>8</v>
      </c>
      <c r="D51">
        <v>5</v>
      </c>
      <c r="E51">
        <v>30000</v>
      </c>
      <c r="F51">
        <v>150000</v>
      </c>
      <c r="G51" t="str">
        <f t="shared" si="1"/>
        <v>Tinggi</v>
      </c>
    </row>
    <row r="52" spans="1:7" x14ac:dyDescent="0.3">
      <c r="A52" t="s">
        <v>33</v>
      </c>
      <c r="B52" t="s">
        <v>11</v>
      </c>
      <c r="C52" t="s">
        <v>12</v>
      </c>
      <c r="D52">
        <v>4</v>
      </c>
      <c r="E52">
        <v>3000</v>
      </c>
      <c r="F52">
        <v>12000</v>
      </c>
      <c r="G52" t="str">
        <f t="shared" si="1"/>
        <v>Rendah</v>
      </c>
    </row>
    <row r="53" spans="1:7" x14ac:dyDescent="0.3">
      <c r="A53" t="s">
        <v>33</v>
      </c>
      <c r="B53" t="s">
        <v>13</v>
      </c>
      <c r="C53" t="s">
        <v>8</v>
      </c>
      <c r="D53">
        <v>10</v>
      </c>
      <c r="E53">
        <v>75000</v>
      </c>
      <c r="F53">
        <v>750000</v>
      </c>
      <c r="G53" t="str">
        <f t="shared" si="1"/>
        <v>Tinggi</v>
      </c>
    </row>
    <row r="54" spans="1:7" x14ac:dyDescent="0.3">
      <c r="A54" t="s">
        <v>33</v>
      </c>
      <c r="B54" t="s">
        <v>21</v>
      </c>
      <c r="C54" t="s">
        <v>8</v>
      </c>
      <c r="D54">
        <v>10</v>
      </c>
      <c r="E54">
        <v>30000</v>
      </c>
      <c r="F54">
        <v>300000</v>
      </c>
      <c r="G54" t="str">
        <f t="shared" si="1"/>
        <v>Tinggi</v>
      </c>
    </row>
    <row r="55" spans="1:7" x14ac:dyDescent="0.3">
      <c r="A55" t="s">
        <v>33</v>
      </c>
      <c r="B55" t="s">
        <v>7</v>
      </c>
      <c r="C55" t="s">
        <v>8</v>
      </c>
      <c r="D55">
        <v>13</v>
      </c>
      <c r="E55">
        <v>18000</v>
      </c>
      <c r="F55">
        <v>234000</v>
      </c>
      <c r="G55" t="str">
        <f t="shared" si="1"/>
        <v>Tinggi</v>
      </c>
    </row>
    <row r="56" spans="1:7" x14ac:dyDescent="0.3">
      <c r="A56" t="s">
        <v>33</v>
      </c>
      <c r="B56" t="s">
        <v>25</v>
      </c>
      <c r="C56" t="s">
        <v>8</v>
      </c>
      <c r="D56">
        <v>11</v>
      </c>
      <c r="E56">
        <v>14000</v>
      </c>
      <c r="F56">
        <v>154000</v>
      </c>
      <c r="G56" t="str">
        <f t="shared" si="1"/>
        <v>Tinggi</v>
      </c>
    </row>
    <row r="57" spans="1:7" x14ac:dyDescent="0.3">
      <c r="A57" t="s">
        <v>34</v>
      </c>
      <c r="B57" t="s">
        <v>24</v>
      </c>
      <c r="C57" t="s">
        <v>12</v>
      </c>
      <c r="D57">
        <v>12</v>
      </c>
      <c r="E57">
        <v>5000</v>
      </c>
      <c r="F57">
        <v>60000</v>
      </c>
      <c r="G57" t="str">
        <f t="shared" si="1"/>
        <v>Rendah</v>
      </c>
    </row>
    <row r="58" spans="1:7" x14ac:dyDescent="0.3">
      <c r="A58" t="s">
        <v>34</v>
      </c>
      <c r="B58" t="s">
        <v>9</v>
      </c>
      <c r="C58" t="s">
        <v>10</v>
      </c>
      <c r="D58">
        <v>15</v>
      </c>
      <c r="E58">
        <v>12000</v>
      </c>
      <c r="F58">
        <v>180000</v>
      </c>
      <c r="G58" t="str">
        <f t="shared" si="1"/>
        <v>Tinggi</v>
      </c>
    </row>
    <row r="59" spans="1:7" x14ac:dyDescent="0.3">
      <c r="A59" t="s">
        <v>34</v>
      </c>
      <c r="B59" t="s">
        <v>9</v>
      </c>
      <c r="C59" t="s">
        <v>10</v>
      </c>
      <c r="D59">
        <v>6</v>
      </c>
      <c r="E59">
        <v>12000</v>
      </c>
      <c r="F59">
        <v>72000</v>
      </c>
      <c r="G59" t="str">
        <f t="shared" si="1"/>
        <v>Tinggi</v>
      </c>
    </row>
    <row r="60" spans="1:7" x14ac:dyDescent="0.3">
      <c r="A60" t="s">
        <v>34</v>
      </c>
      <c r="B60" t="s">
        <v>24</v>
      </c>
      <c r="C60" t="s">
        <v>12</v>
      </c>
      <c r="D60">
        <v>9</v>
      </c>
      <c r="E60">
        <v>5000</v>
      </c>
      <c r="F60">
        <v>45000</v>
      </c>
      <c r="G60" t="str">
        <f t="shared" si="1"/>
        <v>Rendah</v>
      </c>
    </row>
    <row r="61" spans="1:7" x14ac:dyDescent="0.3">
      <c r="A61" t="s">
        <v>34</v>
      </c>
      <c r="B61" t="s">
        <v>17</v>
      </c>
      <c r="C61" t="s">
        <v>15</v>
      </c>
      <c r="D61">
        <v>7</v>
      </c>
      <c r="E61">
        <v>5000</v>
      </c>
      <c r="F61">
        <v>35000</v>
      </c>
      <c r="G61" t="str">
        <f t="shared" si="1"/>
        <v>Rendah</v>
      </c>
    </row>
    <row r="62" spans="1:7" x14ac:dyDescent="0.3">
      <c r="A62" t="s">
        <v>35</v>
      </c>
      <c r="B62" t="s">
        <v>13</v>
      </c>
      <c r="C62" t="s">
        <v>8</v>
      </c>
      <c r="D62">
        <v>3</v>
      </c>
      <c r="E62">
        <v>75000</v>
      </c>
      <c r="F62">
        <v>225000</v>
      </c>
      <c r="G62" t="str">
        <f t="shared" si="1"/>
        <v>Tinggi</v>
      </c>
    </row>
    <row r="63" spans="1:7" x14ac:dyDescent="0.3">
      <c r="A63" t="s">
        <v>35</v>
      </c>
      <c r="B63" t="s">
        <v>7</v>
      </c>
      <c r="C63" t="s">
        <v>8</v>
      </c>
      <c r="D63">
        <v>10</v>
      </c>
      <c r="E63">
        <v>18000</v>
      </c>
      <c r="F63">
        <v>180000</v>
      </c>
      <c r="G63" t="str">
        <f t="shared" si="1"/>
        <v>Tinggi</v>
      </c>
    </row>
    <row r="64" spans="1:7" x14ac:dyDescent="0.3">
      <c r="A64" t="s">
        <v>35</v>
      </c>
      <c r="B64" t="s">
        <v>22</v>
      </c>
      <c r="C64" t="s">
        <v>15</v>
      </c>
      <c r="D64">
        <v>12</v>
      </c>
      <c r="E64">
        <v>15000</v>
      </c>
      <c r="F64">
        <v>180000</v>
      </c>
      <c r="G64" t="str">
        <f t="shared" si="1"/>
        <v>Tinggi</v>
      </c>
    </row>
    <row r="65" spans="1:7" x14ac:dyDescent="0.3">
      <c r="A65" t="s">
        <v>35</v>
      </c>
      <c r="B65" t="s">
        <v>9</v>
      </c>
      <c r="C65" t="s">
        <v>10</v>
      </c>
      <c r="D65">
        <v>3</v>
      </c>
      <c r="E65">
        <v>12000</v>
      </c>
      <c r="F65">
        <v>36000</v>
      </c>
      <c r="G65" t="str">
        <f t="shared" si="1"/>
        <v>Rendah</v>
      </c>
    </row>
    <row r="66" spans="1:7" x14ac:dyDescent="0.3">
      <c r="A66" t="s">
        <v>35</v>
      </c>
      <c r="B66" t="s">
        <v>25</v>
      </c>
      <c r="C66" t="s">
        <v>8</v>
      </c>
      <c r="D66">
        <v>12</v>
      </c>
      <c r="E66">
        <v>14000</v>
      </c>
      <c r="F66">
        <v>168000</v>
      </c>
      <c r="G66" t="str">
        <f t="shared" ref="G66:G97" si="2">IF(F66&gt;70000,"Tinggi","Rendah")</f>
        <v>Tinggi</v>
      </c>
    </row>
    <row r="67" spans="1:7" x14ac:dyDescent="0.3">
      <c r="A67" t="s">
        <v>36</v>
      </c>
      <c r="B67" t="s">
        <v>17</v>
      </c>
      <c r="C67" t="s">
        <v>15</v>
      </c>
      <c r="D67">
        <v>7</v>
      </c>
      <c r="E67">
        <v>5000</v>
      </c>
      <c r="F67">
        <v>35000</v>
      </c>
      <c r="G67" t="str">
        <f t="shared" si="2"/>
        <v>Rendah</v>
      </c>
    </row>
    <row r="68" spans="1:7" x14ac:dyDescent="0.3">
      <c r="A68" t="s">
        <v>36</v>
      </c>
      <c r="B68" t="s">
        <v>21</v>
      </c>
      <c r="C68" t="s">
        <v>8</v>
      </c>
      <c r="D68">
        <v>1</v>
      </c>
      <c r="E68">
        <v>30000</v>
      </c>
      <c r="F68">
        <v>30000</v>
      </c>
      <c r="G68" t="str">
        <f t="shared" si="2"/>
        <v>Rendah</v>
      </c>
    </row>
    <row r="69" spans="1:7" x14ac:dyDescent="0.3">
      <c r="A69" t="s">
        <v>36</v>
      </c>
      <c r="B69" t="s">
        <v>37</v>
      </c>
      <c r="C69" t="s">
        <v>15</v>
      </c>
      <c r="D69">
        <v>11</v>
      </c>
      <c r="E69">
        <v>12000</v>
      </c>
      <c r="F69">
        <v>132000</v>
      </c>
      <c r="G69" t="str">
        <f t="shared" si="2"/>
        <v>Tinggi</v>
      </c>
    </row>
    <row r="70" spans="1:7" x14ac:dyDescent="0.3">
      <c r="A70" t="s">
        <v>36</v>
      </c>
      <c r="B70" t="s">
        <v>25</v>
      </c>
      <c r="C70" t="s">
        <v>8</v>
      </c>
      <c r="D70">
        <v>13</v>
      </c>
      <c r="E70">
        <v>14000</v>
      </c>
      <c r="F70">
        <v>182000</v>
      </c>
      <c r="G70" t="str">
        <f t="shared" si="2"/>
        <v>Tinggi</v>
      </c>
    </row>
    <row r="71" spans="1:7" x14ac:dyDescent="0.3">
      <c r="A71" t="s">
        <v>36</v>
      </c>
      <c r="B71" t="s">
        <v>20</v>
      </c>
      <c r="C71" t="s">
        <v>10</v>
      </c>
      <c r="D71">
        <v>11</v>
      </c>
      <c r="E71">
        <v>3500</v>
      </c>
      <c r="F71">
        <v>38500</v>
      </c>
      <c r="G71" t="str">
        <f t="shared" si="2"/>
        <v>Rendah</v>
      </c>
    </row>
    <row r="72" spans="1:7" x14ac:dyDescent="0.3">
      <c r="A72" t="s">
        <v>38</v>
      </c>
      <c r="B72" t="s">
        <v>18</v>
      </c>
      <c r="C72" t="s">
        <v>12</v>
      </c>
      <c r="D72">
        <v>9</v>
      </c>
      <c r="E72">
        <v>7000</v>
      </c>
      <c r="F72">
        <v>63000</v>
      </c>
      <c r="G72" t="str">
        <f t="shared" si="2"/>
        <v>Rendah</v>
      </c>
    </row>
    <row r="73" spans="1:7" x14ac:dyDescent="0.3">
      <c r="A73" t="s">
        <v>38</v>
      </c>
      <c r="B73" t="s">
        <v>9</v>
      </c>
      <c r="C73" t="s">
        <v>10</v>
      </c>
      <c r="D73">
        <v>1</v>
      </c>
      <c r="E73">
        <v>12000</v>
      </c>
      <c r="F73">
        <v>12000</v>
      </c>
      <c r="G73" t="str">
        <f t="shared" si="2"/>
        <v>Rendah</v>
      </c>
    </row>
    <row r="74" spans="1:7" x14ac:dyDescent="0.3">
      <c r="A74" t="s">
        <v>38</v>
      </c>
      <c r="B74" t="s">
        <v>25</v>
      </c>
      <c r="C74" t="s">
        <v>8</v>
      </c>
      <c r="D74">
        <v>12</v>
      </c>
      <c r="E74">
        <v>14000</v>
      </c>
      <c r="F74">
        <v>168000</v>
      </c>
      <c r="G74" t="str">
        <f t="shared" si="2"/>
        <v>Tinggi</v>
      </c>
    </row>
    <row r="75" spans="1:7" x14ac:dyDescent="0.3">
      <c r="A75" t="s">
        <v>38</v>
      </c>
      <c r="B75" t="s">
        <v>14</v>
      </c>
      <c r="C75" t="s">
        <v>15</v>
      </c>
      <c r="D75">
        <v>15</v>
      </c>
      <c r="E75">
        <v>25000</v>
      </c>
      <c r="F75">
        <v>375000</v>
      </c>
      <c r="G75" t="str">
        <f t="shared" si="2"/>
        <v>Tinggi</v>
      </c>
    </row>
    <row r="76" spans="1:7" x14ac:dyDescent="0.3">
      <c r="A76" t="s">
        <v>38</v>
      </c>
      <c r="B76" t="s">
        <v>14</v>
      </c>
      <c r="C76" t="s">
        <v>15</v>
      </c>
      <c r="D76">
        <v>10</v>
      </c>
      <c r="E76">
        <v>25000</v>
      </c>
      <c r="F76">
        <v>250000</v>
      </c>
      <c r="G76" t="str">
        <f t="shared" si="2"/>
        <v>Tinggi</v>
      </c>
    </row>
    <row r="77" spans="1:7" x14ac:dyDescent="0.3">
      <c r="A77" t="s">
        <v>39</v>
      </c>
      <c r="B77" t="s">
        <v>25</v>
      </c>
      <c r="C77" t="s">
        <v>8</v>
      </c>
      <c r="D77">
        <v>1</v>
      </c>
      <c r="E77">
        <v>14000</v>
      </c>
      <c r="F77">
        <v>14000</v>
      </c>
      <c r="G77" t="str">
        <f t="shared" si="2"/>
        <v>Rendah</v>
      </c>
    </row>
    <row r="78" spans="1:7" x14ac:dyDescent="0.3">
      <c r="A78" t="s">
        <v>39</v>
      </c>
      <c r="B78" t="s">
        <v>24</v>
      </c>
      <c r="C78" t="s">
        <v>12</v>
      </c>
      <c r="D78">
        <v>10</v>
      </c>
      <c r="E78">
        <v>5000</v>
      </c>
      <c r="F78">
        <v>50000</v>
      </c>
      <c r="G78" t="str">
        <f t="shared" si="2"/>
        <v>Rendah</v>
      </c>
    </row>
    <row r="79" spans="1:7" x14ac:dyDescent="0.3">
      <c r="A79" t="s">
        <v>39</v>
      </c>
      <c r="B79" t="s">
        <v>11</v>
      </c>
      <c r="C79" t="s">
        <v>12</v>
      </c>
      <c r="D79">
        <v>14</v>
      </c>
      <c r="E79">
        <v>3000</v>
      </c>
      <c r="F79">
        <v>42000</v>
      </c>
      <c r="G79" t="str">
        <f t="shared" si="2"/>
        <v>Rendah</v>
      </c>
    </row>
    <row r="80" spans="1:7" x14ac:dyDescent="0.3">
      <c r="A80" t="s">
        <v>39</v>
      </c>
      <c r="B80" t="s">
        <v>17</v>
      </c>
      <c r="C80" t="s">
        <v>15</v>
      </c>
      <c r="D80">
        <v>11</v>
      </c>
      <c r="E80">
        <v>5000</v>
      </c>
      <c r="F80">
        <v>55000</v>
      </c>
      <c r="G80" t="str">
        <f t="shared" si="2"/>
        <v>Rendah</v>
      </c>
    </row>
    <row r="81" spans="1:7" x14ac:dyDescent="0.3">
      <c r="A81" t="s">
        <v>39</v>
      </c>
      <c r="B81" t="s">
        <v>7</v>
      </c>
      <c r="C81" t="s">
        <v>8</v>
      </c>
      <c r="D81">
        <v>14</v>
      </c>
      <c r="E81">
        <v>18000</v>
      </c>
      <c r="F81">
        <v>252000</v>
      </c>
      <c r="G81" t="str">
        <f t="shared" si="2"/>
        <v>Tinggi</v>
      </c>
    </row>
    <row r="82" spans="1:7" x14ac:dyDescent="0.3">
      <c r="A82" t="s">
        <v>40</v>
      </c>
      <c r="B82" t="s">
        <v>18</v>
      </c>
      <c r="C82" t="s">
        <v>12</v>
      </c>
      <c r="D82">
        <v>4</v>
      </c>
      <c r="E82">
        <v>7000</v>
      </c>
      <c r="F82">
        <v>28000</v>
      </c>
      <c r="G82" t="str">
        <f t="shared" si="2"/>
        <v>Rendah</v>
      </c>
    </row>
    <row r="83" spans="1:7" x14ac:dyDescent="0.3">
      <c r="A83" t="s">
        <v>40</v>
      </c>
      <c r="B83" t="s">
        <v>29</v>
      </c>
      <c r="C83" t="s">
        <v>12</v>
      </c>
      <c r="D83">
        <v>9</v>
      </c>
      <c r="E83">
        <v>2000</v>
      </c>
      <c r="F83">
        <v>18000</v>
      </c>
      <c r="G83" t="str">
        <f t="shared" si="2"/>
        <v>Rendah</v>
      </c>
    </row>
    <row r="84" spans="1:7" x14ac:dyDescent="0.3">
      <c r="A84" t="s">
        <v>40</v>
      </c>
      <c r="B84" t="s">
        <v>24</v>
      </c>
      <c r="C84" t="s">
        <v>12</v>
      </c>
      <c r="D84">
        <v>9</v>
      </c>
      <c r="E84">
        <v>5000</v>
      </c>
      <c r="F84">
        <v>45000</v>
      </c>
      <c r="G84" t="str">
        <f t="shared" si="2"/>
        <v>Rendah</v>
      </c>
    </row>
    <row r="85" spans="1:7" x14ac:dyDescent="0.3">
      <c r="A85" t="s">
        <v>40</v>
      </c>
      <c r="B85" t="s">
        <v>7</v>
      </c>
      <c r="C85" t="s">
        <v>8</v>
      </c>
      <c r="D85">
        <v>15</v>
      </c>
      <c r="E85">
        <v>18000</v>
      </c>
      <c r="F85">
        <v>270000</v>
      </c>
      <c r="G85" t="str">
        <f t="shared" si="2"/>
        <v>Tinggi</v>
      </c>
    </row>
    <row r="86" spans="1:7" x14ac:dyDescent="0.3">
      <c r="A86" t="s">
        <v>40</v>
      </c>
      <c r="B86" t="s">
        <v>9</v>
      </c>
      <c r="C86" t="s">
        <v>10</v>
      </c>
      <c r="D86">
        <v>2</v>
      </c>
      <c r="E86">
        <v>12000</v>
      </c>
      <c r="F86">
        <v>24000</v>
      </c>
      <c r="G86" t="str">
        <f t="shared" si="2"/>
        <v>Rendah</v>
      </c>
    </row>
    <row r="87" spans="1:7" x14ac:dyDescent="0.3">
      <c r="A87" t="s">
        <v>41</v>
      </c>
      <c r="B87" t="s">
        <v>11</v>
      </c>
      <c r="C87" t="s">
        <v>12</v>
      </c>
      <c r="D87">
        <v>7</v>
      </c>
      <c r="E87">
        <v>3000</v>
      </c>
      <c r="F87">
        <v>21000</v>
      </c>
      <c r="G87" t="str">
        <f t="shared" si="2"/>
        <v>Rendah</v>
      </c>
    </row>
    <row r="88" spans="1:7" x14ac:dyDescent="0.3">
      <c r="A88" t="s">
        <v>41</v>
      </c>
      <c r="B88" t="s">
        <v>7</v>
      </c>
      <c r="C88" t="s">
        <v>8</v>
      </c>
      <c r="D88">
        <v>2</v>
      </c>
      <c r="E88">
        <v>18000</v>
      </c>
      <c r="F88">
        <v>36000</v>
      </c>
      <c r="G88" t="str">
        <f t="shared" si="2"/>
        <v>Rendah</v>
      </c>
    </row>
    <row r="89" spans="1:7" x14ac:dyDescent="0.3">
      <c r="A89" t="s">
        <v>41</v>
      </c>
      <c r="B89" t="s">
        <v>17</v>
      </c>
      <c r="C89" t="s">
        <v>15</v>
      </c>
      <c r="D89">
        <v>8</v>
      </c>
      <c r="E89">
        <v>5000</v>
      </c>
      <c r="F89">
        <v>40000</v>
      </c>
      <c r="G89" t="str">
        <f t="shared" si="2"/>
        <v>Rendah</v>
      </c>
    </row>
    <row r="90" spans="1:7" x14ac:dyDescent="0.3">
      <c r="A90" t="s">
        <v>41</v>
      </c>
      <c r="B90" t="s">
        <v>9</v>
      </c>
      <c r="C90" t="s">
        <v>10</v>
      </c>
      <c r="D90">
        <v>9</v>
      </c>
      <c r="E90">
        <v>12000</v>
      </c>
      <c r="F90">
        <v>108000</v>
      </c>
      <c r="G90" t="str">
        <f t="shared" si="2"/>
        <v>Tinggi</v>
      </c>
    </row>
    <row r="91" spans="1:7" x14ac:dyDescent="0.3">
      <c r="A91" t="s">
        <v>41</v>
      </c>
      <c r="B91" t="s">
        <v>13</v>
      </c>
      <c r="C91" t="s">
        <v>8</v>
      </c>
      <c r="D91">
        <v>14</v>
      </c>
      <c r="E91">
        <v>75000</v>
      </c>
      <c r="F91">
        <v>1050000</v>
      </c>
      <c r="G91" t="str">
        <f t="shared" si="2"/>
        <v>Tinggi</v>
      </c>
    </row>
    <row r="92" spans="1:7" x14ac:dyDescent="0.3">
      <c r="A92" t="s">
        <v>42</v>
      </c>
      <c r="B92" t="s">
        <v>9</v>
      </c>
      <c r="C92" t="s">
        <v>10</v>
      </c>
      <c r="D92">
        <v>1</v>
      </c>
      <c r="E92">
        <v>12000</v>
      </c>
      <c r="F92">
        <v>12000</v>
      </c>
      <c r="G92" t="str">
        <f t="shared" si="2"/>
        <v>Rendah</v>
      </c>
    </row>
    <row r="93" spans="1:7" x14ac:dyDescent="0.3">
      <c r="A93" t="s">
        <v>42</v>
      </c>
      <c r="B93" t="s">
        <v>20</v>
      </c>
      <c r="C93" t="s">
        <v>10</v>
      </c>
      <c r="D93">
        <v>15</v>
      </c>
      <c r="E93">
        <v>3500</v>
      </c>
      <c r="F93">
        <v>52500</v>
      </c>
      <c r="G93" t="str">
        <f t="shared" si="2"/>
        <v>Rendah</v>
      </c>
    </row>
    <row r="94" spans="1:7" x14ac:dyDescent="0.3">
      <c r="A94" t="s">
        <v>42</v>
      </c>
      <c r="B94" t="s">
        <v>37</v>
      </c>
      <c r="C94" t="s">
        <v>15</v>
      </c>
      <c r="D94">
        <v>2</v>
      </c>
      <c r="E94">
        <v>12000</v>
      </c>
      <c r="F94">
        <v>24000</v>
      </c>
      <c r="G94" t="str">
        <f t="shared" si="2"/>
        <v>Rendah</v>
      </c>
    </row>
    <row r="95" spans="1:7" x14ac:dyDescent="0.3">
      <c r="A95" t="s">
        <v>42</v>
      </c>
      <c r="B95" t="s">
        <v>7</v>
      </c>
      <c r="C95" t="s">
        <v>8</v>
      </c>
      <c r="D95">
        <v>6</v>
      </c>
      <c r="E95">
        <v>18000</v>
      </c>
      <c r="F95">
        <v>108000</v>
      </c>
      <c r="G95" t="str">
        <f t="shared" si="2"/>
        <v>Tinggi</v>
      </c>
    </row>
    <row r="96" spans="1:7" x14ac:dyDescent="0.3">
      <c r="A96" t="s">
        <v>42</v>
      </c>
      <c r="B96" t="s">
        <v>18</v>
      </c>
      <c r="C96" t="s">
        <v>12</v>
      </c>
      <c r="D96">
        <v>10</v>
      </c>
      <c r="E96">
        <v>7000</v>
      </c>
      <c r="F96">
        <v>70000</v>
      </c>
      <c r="G96" t="str">
        <f t="shared" si="2"/>
        <v>Rendah</v>
      </c>
    </row>
    <row r="97" spans="1:7" x14ac:dyDescent="0.3">
      <c r="A97" t="s">
        <v>43</v>
      </c>
      <c r="B97" t="s">
        <v>17</v>
      </c>
      <c r="C97" t="s">
        <v>15</v>
      </c>
      <c r="D97">
        <v>11</v>
      </c>
      <c r="E97">
        <v>5000</v>
      </c>
      <c r="F97">
        <v>55000</v>
      </c>
      <c r="G97" t="str">
        <f t="shared" si="2"/>
        <v>Rendah</v>
      </c>
    </row>
    <row r="98" spans="1:7" x14ac:dyDescent="0.3">
      <c r="A98" t="s">
        <v>43</v>
      </c>
      <c r="B98" t="s">
        <v>22</v>
      </c>
      <c r="C98" t="s">
        <v>15</v>
      </c>
      <c r="D98">
        <v>4</v>
      </c>
      <c r="E98">
        <v>15000</v>
      </c>
      <c r="F98">
        <v>60000</v>
      </c>
      <c r="G98" t="str">
        <f t="shared" ref="G98:G129" si="3">IF(F98&gt;70000,"Tinggi","Rendah")</f>
        <v>Rendah</v>
      </c>
    </row>
    <row r="99" spans="1:7" x14ac:dyDescent="0.3">
      <c r="A99" t="s">
        <v>43</v>
      </c>
      <c r="B99" t="s">
        <v>25</v>
      </c>
      <c r="C99" t="s">
        <v>8</v>
      </c>
      <c r="D99">
        <v>12</v>
      </c>
      <c r="E99">
        <v>14000</v>
      </c>
      <c r="F99">
        <v>168000</v>
      </c>
      <c r="G99" t="str">
        <f t="shared" si="3"/>
        <v>Tinggi</v>
      </c>
    </row>
    <row r="100" spans="1:7" x14ac:dyDescent="0.3">
      <c r="A100" t="s">
        <v>43</v>
      </c>
      <c r="B100" t="s">
        <v>11</v>
      </c>
      <c r="C100" t="s">
        <v>12</v>
      </c>
      <c r="D100">
        <v>2</v>
      </c>
      <c r="E100">
        <v>3000</v>
      </c>
      <c r="F100">
        <v>6000</v>
      </c>
      <c r="G100" t="str">
        <f t="shared" si="3"/>
        <v>Rendah</v>
      </c>
    </row>
    <row r="101" spans="1:7" x14ac:dyDescent="0.3">
      <c r="A101" t="s">
        <v>43</v>
      </c>
      <c r="B101" t="s">
        <v>22</v>
      </c>
      <c r="C101" t="s">
        <v>15</v>
      </c>
      <c r="D101">
        <v>13</v>
      </c>
      <c r="E101">
        <v>15000</v>
      </c>
      <c r="F101">
        <v>195000</v>
      </c>
      <c r="G101" t="str">
        <f t="shared" si="3"/>
        <v>Tinggi</v>
      </c>
    </row>
    <row r="102" spans="1:7" x14ac:dyDescent="0.3">
      <c r="A102" t="s">
        <v>44</v>
      </c>
      <c r="B102" t="s">
        <v>17</v>
      </c>
      <c r="C102" t="s">
        <v>15</v>
      </c>
      <c r="D102">
        <v>9</v>
      </c>
      <c r="E102">
        <v>5000</v>
      </c>
      <c r="F102">
        <v>45000</v>
      </c>
      <c r="G102" t="str">
        <f t="shared" si="3"/>
        <v>Rendah</v>
      </c>
    </row>
    <row r="103" spans="1:7" x14ac:dyDescent="0.3">
      <c r="A103" t="s">
        <v>44</v>
      </c>
      <c r="B103" t="s">
        <v>25</v>
      </c>
      <c r="C103" t="s">
        <v>8</v>
      </c>
      <c r="D103">
        <v>7</v>
      </c>
      <c r="E103">
        <v>14000</v>
      </c>
      <c r="F103">
        <v>98000</v>
      </c>
      <c r="G103" t="str">
        <f t="shared" si="3"/>
        <v>Tinggi</v>
      </c>
    </row>
    <row r="104" spans="1:7" x14ac:dyDescent="0.3">
      <c r="A104" t="s">
        <v>44</v>
      </c>
      <c r="B104" t="s">
        <v>11</v>
      </c>
      <c r="C104" t="s">
        <v>12</v>
      </c>
      <c r="D104">
        <v>13</v>
      </c>
      <c r="E104">
        <v>3000</v>
      </c>
      <c r="F104">
        <v>39000</v>
      </c>
      <c r="G104" t="str">
        <f t="shared" si="3"/>
        <v>Rendah</v>
      </c>
    </row>
    <row r="105" spans="1:7" x14ac:dyDescent="0.3">
      <c r="A105" t="s">
        <v>44</v>
      </c>
      <c r="B105" t="s">
        <v>14</v>
      </c>
      <c r="C105" t="s">
        <v>15</v>
      </c>
      <c r="D105">
        <v>9</v>
      </c>
      <c r="E105">
        <v>25000</v>
      </c>
      <c r="F105">
        <v>225000</v>
      </c>
      <c r="G105" t="str">
        <f t="shared" si="3"/>
        <v>Tinggi</v>
      </c>
    </row>
    <row r="106" spans="1:7" x14ac:dyDescent="0.3">
      <c r="A106" t="s">
        <v>44</v>
      </c>
      <c r="B106" t="s">
        <v>24</v>
      </c>
      <c r="C106" t="s">
        <v>12</v>
      </c>
      <c r="D106">
        <v>7</v>
      </c>
      <c r="E106">
        <v>5000</v>
      </c>
      <c r="F106">
        <v>35000</v>
      </c>
      <c r="G106" t="str">
        <f t="shared" si="3"/>
        <v>Rendah</v>
      </c>
    </row>
    <row r="107" spans="1:7" x14ac:dyDescent="0.3">
      <c r="A107" t="s">
        <v>45</v>
      </c>
      <c r="B107" t="s">
        <v>29</v>
      </c>
      <c r="C107" t="s">
        <v>12</v>
      </c>
      <c r="D107">
        <v>8</v>
      </c>
      <c r="E107">
        <v>2000</v>
      </c>
      <c r="F107">
        <v>16000</v>
      </c>
      <c r="G107" t="str">
        <f t="shared" si="3"/>
        <v>Rendah</v>
      </c>
    </row>
    <row r="108" spans="1:7" x14ac:dyDescent="0.3">
      <c r="A108" t="s">
        <v>45</v>
      </c>
      <c r="B108" t="s">
        <v>24</v>
      </c>
      <c r="C108" t="s">
        <v>12</v>
      </c>
      <c r="D108">
        <v>12</v>
      </c>
      <c r="E108">
        <v>5000</v>
      </c>
      <c r="F108">
        <v>60000</v>
      </c>
      <c r="G108" t="str">
        <f t="shared" si="3"/>
        <v>Rendah</v>
      </c>
    </row>
    <row r="109" spans="1:7" x14ac:dyDescent="0.3">
      <c r="A109" t="s">
        <v>45</v>
      </c>
      <c r="B109" t="s">
        <v>22</v>
      </c>
      <c r="C109" t="s">
        <v>15</v>
      </c>
      <c r="D109">
        <v>12</v>
      </c>
      <c r="E109">
        <v>15000</v>
      </c>
      <c r="F109">
        <v>180000</v>
      </c>
      <c r="G109" t="str">
        <f t="shared" si="3"/>
        <v>Tinggi</v>
      </c>
    </row>
    <row r="110" spans="1:7" x14ac:dyDescent="0.3">
      <c r="A110" t="s">
        <v>45</v>
      </c>
      <c r="B110" t="s">
        <v>20</v>
      </c>
      <c r="C110" t="s">
        <v>10</v>
      </c>
      <c r="D110">
        <v>3</v>
      </c>
      <c r="E110">
        <v>3500</v>
      </c>
      <c r="F110">
        <v>10500</v>
      </c>
      <c r="G110" t="str">
        <f t="shared" si="3"/>
        <v>Rendah</v>
      </c>
    </row>
    <row r="111" spans="1:7" x14ac:dyDescent="0.3">
      <c r="A111" t="s">
        <v>45</v>
      </c>
      <c r="B111" t="s">
        <v>13</v>
      </c>
      <c r="C111" t="s">
        <v>8</v>
      </c>
      <c r="D111">
        <v>4</v>
      </c>
      <c r="E111">
        <v>75000</v>
      </c>
      <c r="F111">
        <v>300000</v>
      </c>
      <c r="G111" t="str">
        <f t="shared" si="3"/>
        <v>Tinggi</v>
      </c>
    </row>
    <row r="112" spans="1:7" x14ac:dyDescent="0.3">
      <c r="A112" t="s">
        <v>46</v>
      </c>
      <c r="B112" t="s">
        <v>25</v>
      </c>
      <c r="C112" t="s">
        <v>8</v>
      </c>
      <c r="D112">
        <v>5</v>
      </c>
      <c r="E112">
        <v>14000</v>
      </c>
      <c r="F112">
        <v>70000</v>
      </c>
      <c r="G112" t="str">
        <f t="shared" si="3"/>
        <v>Rendah</v>
      </c>
    </row>
    <row r="113" spans="1:7" x14ac:dyDescent="0.3">
      <c r="A113" t="s">
        <v>46</v>
      </c>
      <c r="B113" t="s">
        <v>22</v>
      </c>
      <c r="C113" t="s">
        <v>15</v>
      </c>
      <c r="D113">
        <v>14</v>
      </c>
      <c r="E113">
        <v>15000</v>
      </c>
      <c r="F113">
        <v>210000</v>
      </c>
      <c r="G113" t="str">
        <f t="shared" si="3"/>
        <v>Tinggi</v>
      </c>
    </row>
    <row r="114" spans="1:7" x14ac:dyDescent="0.3">
      <c r="A114" t="s">
        <v>46</v>
      </c>
      <c r="B114" t="s">
        <v>20</v>
      </c>
      <c r="C114" t="s">
        <v>10</v>
      </c>
      <c r="D114">
        <v>5</v>
      </c>
      <c r="E114">
        <v>3500</v>
      </c>
      <c r="F114">
        <v>17500</v>
      </c>
      <c r="G114" t="str">
        <f t="shared" si="3"/>
        <v>Rendah</v>
      </c>
    </row>
    <row r="115" spans="1:7" x14ac:dyDescent="0.3">
      <c r="A115" t="s">
        <v>46</v>
      </c>
      <c r="B115" t="s">
        <v>21</v>
      </c>
      <c r="C115" t="s">
        <v>8</v>
      </c>
      <c r="D115">
        <v>6</v>
      </c>
      <c r="E115">
        <v>30000</v>
      </c>
      <c r="F115">
        <v>180000</v>
      </c>
      <c r="G115" t="str">
        <f t="shared" si="3"/>
        <v>Tinggi</v>
      </c>
    </row>
    <row r="116" spans="1:7" x14ac:dyDescent="0.3">
      <c r="A116" t="s">
        <v>46</v>
      </c>
      <c r="B116" t="s">
        <v>18</v>
      </c>
      <c r="C116" t="s">
        <v>12</v>
      </c>
      <c r="D116">
        <v>8</v>
      </c>
      <c r="E116">
        <v>7000</v>
      </c>
      <c r="F116">
        <v>56000</v>
      </c>
      <c r="G116" t="str">
        <f t="shared" si="3"/>
        <v>Rendah</v>
      </c>
    </row>
    <row r="117" spans="1:7" x14ac:dyDescent="0.3">
      <c r="A117" t="s">
        <v>47</v>
      </c>
      <c r="B117" t="s">
        <v>24</v>
      </c>
      <c r="C117" t="s">
        <v>12</v>
      </c>
      <c r="D117">
        <v>7</v>
      </c>
      <c r="E117">
        <v>5000</v>
      </c>
      <c r="F117">
        <v>35000</v>
      </c>
      <c r="G117" t="str">
        <f t="shared" si="3"/>
        <v>Rendah</v>
      </c>
    </row>
    <row r="118" spans="1:7" x14ac:dyDescent="0.3">
      <c r="A118" t="s">
        <v>47</v>
      </c>
      <c r="B118" t="s">
        <v>22</v>
      </c>
      <c r="C118" t="s">
        <v>15</v>
      </c>
      <c r="D118">
        <v>13</v>
      </c>
      <c r="E118">
        <v>15000</v>
      </c>
      <c r="F118">
        <v>195000</v>
      </c>
      <c r="G118" t="str">
        <f t="shared" si="3"/>
        <v>Tinggi</v>
      </c>
    </row>
    <row r="119" spans="1:7" x14ac:dyDescent="0.3">
      <c r="A119" t="s">
        <v>47</v>
      </c>
      <c r="B119" t="s">
        <v>9</v>
      </c>
      <c r="C119" t="s">
        <v>10</v>
      </c>
      <c r="D119">
        <v>11</v>
      </c>
      <c r="E119">
        <v>12000</v>
      </c>
      <c r="F119">
        <v>132000</v>
      </c>
      <c r="G119" t="str">
        <f t="shared" si="3"/>
        <v>Tinggi</v>
      </c>
    </row>
    <row r="120" spans="1:7" x14ac:dyDescent="0.3">
      <c r="A120" t="s">
        <v>47</v>
      </c>
      <c r="B120" t="s">
        <v>21</v>
      </c>
      <c r="C120" t="s">
        <v>8</v>
      </c>
      <c r="D120">
        <v>7</v>
      </c>
      <c r="E120">
        <v>30000</v>
      </c>
      <c r="F120">
        <v>210000</v>
      </c>
      <c r="G120" t="str">
        <f t="shared" si="3"/>
        <v>Tinggi</v>
      </c>
    </row>
    <row r="121" spans="1:7" x14ac:dyDescent="0.3">
      <c r="A121" t="s">
        <v>47</v>
      </c>
      <c r="B121" t="s">
        <v>22</v>
      </c>
      <c r="C121" t="s">
        <v>15</v>
      </c>
      <c r="D121">
        <v>13</v>
      </c>
      <c r="E121">
        <v>15000</v>
      </c>
      <c r="F121">
        <v>195000</v>
      </c>
      <c r="G121" t="str">
        <f t="shared" si="3"/>
        <v>Tinggi</v>
      </c>
    </row>
    <row r="122" spans="1:7" x14ac:dyDescent="0.3">
      <c r="A122" t="s">
        <v>48</v>
      </c>
      <c r="B122" t="s">
        <v>17</v>
      </c>
      <c r="C122" t="s">
        <v>15</v>
      </c>
      <c r="D122">
        <v>9</v>
      </c>
      <c r="E122">
        <v>5000</v>
      </c>
      <c r="F122">
        <v>45000</v>
      </c>
      <c r="G122" t="str">
        <f t="shared" si="3"/>
        <v>Rendah</v>
      </c>
    </row>
    <row r="123" spans="1:7" x14ac:dyDescent="0.3">
      <c r="A123" t="s">
        <v>48</v>
      </c>
      <c r="B123" t="s">
        <v>20</v>
      </c>
      <c r="C123" t="s">
        <v>10</v>
      </c>
      <c r="D123">
        <v>10</v>
      </c>
      <c r="E123">
        <v>3500</v>
      </c>
      <c r="F123">
        <v>35000</v>
      </c>
      <c r="G123" t="str">
        <f t="shared" si="3"/>
        <v>Rendah</v>
      </c>
    </row>
    <row r="124" spans="1:7" x14ac:dyDescent="0.3">
      <c r="A124" t="s">
        <v>48</v>
      </c>
      <c r="B124" t="s">
        <v>11</v>
      </c>
      <c r="C124" t="s">
        <v>12</v>
      </c>
      <c r="D124">
        <v>13</v>
      </c>
      <c r="E124">
        <v>3000</v>
      </c>
      <c r="F124">
        <v>39000</v>
      </c>
      <c r="G124" t="str">
        <f t="shared" si="3"/>
        <v>Rendah</v>
      </c>
    </row>
    <row r="125" spans="1:7" x14ac:dyDescent="0.3">
      <c r="A125" t="s">
        <v>48</v>
      </c>
      <c r="B125" t="s">
        <v>37</v>
      </c>
      <c r="C125" t="s">
        <v>15</v>
      </c>
      <c r="D125">
        <v>6</v>
      </c>
      <c r="E125">
        <v>12000</v>
      </c>
      <c r="F125">
        <v>72000</v>
      </c>
      <c r="G125" t="str">
        <f t="shared" si="3"/>
        <v>Tinggi</v>
      </c>
    </row>
    <row r="126" spans="1:7" x14ac:dyDescent="0.3">
      <c r="A126" t="s">
        <v>48</v>
      </c>
      <c r="B126" t="s">
        <v>17</v>
      </c>
      <c r="C126" t="s">
        <v>15</v>
      </c>
      <c r="D126">
        <v>12</v>
      </c>
      <c r="E126">
        <v>5000</v>
      </c>
      <c r="F126">
        <v>60000</v>
      </c>
      <c r="G126" t="str">
        <f t="shared" si="3"/>
        <v>Rendah</v>
      </c>
    </row>
    <row r="127" spans="1:7" x14ac:dyDescent="0.3">
      <c r="A127" t="s">
        <v>49</v>
      </c>
      <c r="B127" t="s">
        <v>20</v>
      </c>
      <c r="C127" t="s">
        <v>10</v>
      </c>
      <c r="D127">
        <v>6</v>
      </c>
      <c r="E127">
        <v>3500</v>
      </c>
      <c r="F127">
        <v>21000</v>
      </c>
      <c r="G127" t="str">
        <f t="shared" si="3"/>
        <v>Rendah</v>
      </c>
    </row>
    <row r="128" spans="1:7" x14ac:dyDescent="0.3">
      <c r="A128" t="s">
        <v>49</v>
      </c>
      <c r="B128" t="s">
        <v>14</v>
      </c>
      <c r="C128" t="s">
        <v>15</v>
      </c>
      <c r="D128">
        <v>8</v>
      </c>
      <c r="E128">
        <v>25000</v>
      </c>
      <c r="F128">
        <v>200000</v>
      </c>
      <c r="G128" t="str">
        <f t="shared" si="3"/>
        <v>Tinggi</v>
      </c>
    </row>
    <row r="129" spans="1:7" x14ac:dyDescent="0.3">
      <c r="A129" t="s">
        <v>49</v>
      </c>
      <c r="B129" t="s">
        <v>9</v>
      </c>
      <c r="C129" t="s">
        <v>10</v>
      </c>
      <c r="D129">
        <v>1</v>
      </c>
      <c r="E129">
        <v>12000</v>
      </c>
      <c r="F129">
        <v>12000</v>
      </c>
      <c r="G129" t="str">
        <f t="shared" si="3"/>
        <v>Rendah</v>
      </c>
    </row>
    <row r="130" spans="1:7" x14ac:dyDescent="0.3">
      <c r="A130" t="s">
        <v>49</v>
      </c>
      <c r="B130" t="s">
        <v>24</v>
      </c>
      <c r="C130" t="s">
        <v>12</v>
      </c>
      <c r="D130">
        <v>3</v>
      </c>
      <c r="E130">
        <v>5000</v>
      </c>
      <c r="F130">
        <v>15000</v>
      </c>
      <c r="G130" t="str">
        <f t="shared" ref="G130:G161" si="4">IF(F130&gt;70000,"Tinggi","Rendah")</f>
        <v>Rendah</v>
      </c>
    </row>
    <row r="131" spans="1:7" x14ac:dyDescent="0.3">
      <c r="A131" t="s">
        <v>49</v>
      </c>
      <c r="B131" t="s">
        <v>25</v>
      </c>
      <c r="C131" t="s">
        <v>8</v>
      </c>
      <c r="D131">
        <v>9</v>
      </c>
      <c r="E131">
        <v>14000</v>
      </c>
      <c r="F131">
        <v>126000</v>
      </c>
      <c r="G131" t="str">
        <f t="shared" si="4"/>
        <v>Tinggi</v>
      </c>
    </row>
    <row r="132" spans="1:7" x14ac:dyDescent="0.3">
      <c r="A132" t="s">
        <v>50</v>
      </c>
      <c r="B132" t="s">
        <v>22</v>
      </c>
      <c r="C132" t="s">
        <v>15</v>
      </c>
      <c r="D132">
        <v>11</v>
      </c>
      <c r="E132">
        <v>15000</v>
      </c>
      <c r="F132">
        <v>165000</v>
      </c>
      <c r="G132" t="str">
        <f t="shared" si="4"/>
        <v>Tinggi</v>
      </c>
    </row>
    <row r="133" spans="1:7" x14ac:dyDescent="0.3">
      <c r="A133" t="s">
        <v>50</v>
      </c>
      <c r="B133" t="s">
        <v>37</v>
      </c>
      <c r="C133" t="s">
        <v>15</v>
      </c>
      <c r="D133">
        <v>9</v>
      </c>
      <c r="E133">
        <v>12000</v>
      </c>
      <c r="F133">
        <v>108000</v>
      </c>
      <c r="G133" t="str">
        <f t="shared" si="4"/>
        <v>Tinggi</v>
      </c>
    </row>
    <row r="134" spans="1:7" x14ac:dyDescent="0.3">
      <c r="A134" t="s">
        <v>50</v>
      </c>
      <c r="B134" t="s">
        <v>25</v>
      </c>
      <c r="C134" t="s">
        <v>8</v>
      </c>
      <c r="D134">
        <v>8</v>
      </c>
      <c r="E134">
        <v>14000</v>
      </c>
      <c r="F134">
        <v>112000</v>
      </c>
      <c r="G134" t="str">
        <f t="shared" si="4"/>
        <v>Tinggi</v>
      </c>
    </row>
    <row r="135" spans="1:7" x14ac:dyDescent="0.3">
      <c r="A135" t="s">
        <v>50</v>
      </c>
      <c r="B135" t="s">
        <v>7</v>
      </c>
      <c r="C135" t="s">
        <v>8</v>
      </c>
      <c r="D135">
        <v>14</v>
      </c>
      <c r="E135">
        <v>18000</v>
      </c>
      <c r="F135">
        <v>252000</v>
      </c>
      <c r="G135" t="str">
        <f t="shared" si="4"/>
        <v>Tinggi</v>
      </c>
    </row>
    <row r="136" spans="1:7" x14ac:dyDescent="0.3">
      <c r="A136" t="s">
        <v>50</v>
      </c>
      <c r="B136" t="s">
        <v>21</v>
      </c>
      <c r="C136" t="s">
        <v>8</v>
      </c>
      <c r="D136">
        <v>7</v>
      </c>
      <c r="E136">
        <v>30000</v>
      </c>
      <c r="F136">
        <v>210000</v>
      </c>
      <c r="G136" t="str">
        <f t="shared" si="4"/>
        <v>Tinggi</v>
      </c>
    </row>
    <row r="137" spans="1:7" x14ac:dyDescent="0.3">
      <c r="A137" t="s">
        <v>51</v>
      </c>
      <c r="B137" t="s">
        <v>18</v>
      </c>
      <c r="C137" t="s">
        <v>12</v>
      </c>
      <c r="D137">
        <v>6</v>
      </c>
      <c r="E137">
        <v>7000</v>
      </c>
      <c r="F137">
        <v>42000</v>
      </c>
      <c r="G137" t="str">
        <f t="shared" si="4"/>
        <v>Rendah</v>
      </c>
    </row>
    <row r="138" spans="1:7" x14ac:dyDescent="0.3">
      <c r="A138" t="s">
        <v>51</v>
      </c>
      <c r="B138" t="s">
        <v>24</v>
      </c>
      <c r="C138" t="s">
        <v>12</v>
      </c>
      <c r="D138">
        <v>6</v>
      </c>
      <c r="E138">
        <v>5000</v>
      </c>
      <c r="F138">
        <v>30000</v>
      </c>
      <c r="G138" t="str">
        <f t="shared" si="4"/>
        <v>Rendah</v>
      </c>
    </row>
    <row r="139" spans="1:7" x14ac:dyDescent="0.3">
      <c r="A139" t="s">
        <v>51</v>
      </c>
      <c r="B139" t="s">
        <v>37</v>
      </c>
      <c r="C139" t="s">
        <v>15</v>
      </c>
      <c r="D139">
        <v>8</v>
      </c>
      <c r="E139">
        <v>12000</v>
      </c>
      <c r="F139">
        <v>96000</v>
      </c>
      <c r="G139" t="str">
        <f t="shared" si="4"/>
        <v>Tinggi</v>
      </c>
    </row>
    <row r="140" spans="1:7" x14ac:dyDescent="0.3">
      <c r="A140" t="s">
        <v>51</v>
      </c>
      <c r="B140" t="s">
        <v>14</v>
      </c>
      <c r="C140" t="s">
        <v>15</v>
      </c>
      <c r="D140">
        <v>14</v>
      </c>
      <c r="E140">
        <v>25000</v>
      </c>
      <c r="F140">
        <v>350000</v>
      </c>
      <c r="G140" t="str">
        <f t="shared" si="4"/>
        <v>Tinggi</v>
      </c>
    </row>
    <row r="141" spans="1:7" x14ac:dyDescent="0.3">
      <c r="A141" t="s">
        <v>51</v>
      </c>
      <c r="B141" t="s">
        <v>11</v>
      </c>
      <c r="C141" t="s">
        <v>12</v>
      </c>
      <c r="D141">
        <v>11</v>
      </c>
      <c r="E141">
        <v>3000</v>
      </c>
      <c r="F141">
        <v>33000</v>
      </c>
      <c r="G141" t="str">
        <f t="shared" si="4"/>
        <v>Rendah</v>
      </c>
    </row>
    <row r="142" spans="1:7" x14ac:dyDescent="0.3">
      <c r="A142" t="s">
        <v>52</v>
      </c>
      <c r="B142" t="s">
        <v>11</v>
      </c>
      <c r="C142" t="s">
        <v>12</v>
      </c>
      <c r="D142">
        <v>15</v>
      </c>
      <c r="E142">
        <v>3000</v>
      </c>
      <c r="F142">
        <v>45000</v>
      </c>
      <c r="G142" t="str">
        <f t="shared" si="4"/>
        <v>Rendah</v>
      </c>
    </row>
    <row r="143" spans="1:7" x14ac:dyDescent="0.3">
      <c r="A143" t="s">
        <v>52</v>
      </c>
      <c r="B143" t="s">
        <v>22</v>
      </c>
      <c r="C143" t="s">
        <v>15</v>
      </c>
      <c r="D143">
        <v>11</v>
      </c>
      <c r="E143">
        <v>15000</v>
      </c>
      <c r="F143">
        <v>165000</v>
      </c>
      <c r="G143" t="str">
        <f t="shared" si="4"/>
        <v>Tinggi</v>
      </c>
    </row>
    <row r="144" spans="1:7" x14ac:dyDescent="0.3">
      <c r="A144" t="s">
        <v>52</v>
      </c>
      <c r="B144" t="s">
        <v>18</v>
      </c>
      <c r="C144" t="s">
        <v>12</v>
      </c>
      <c r="D144">
        <v>10</v>
      </c>
      <c r="E144">
        <v>7000</v>
      </c>
      <c r="F144">
        <v>70000</v>
      </c>
      <c r="G144" t="str">
        <f t="shared" si="4"/>
        <v>Rendah</v>
      </c>
    </row>
    <row r="145" spans="1:7" x14ac:dyDescent="0.3">
      <c r="A145" t="s">
        <v>52</v>
      </c>
      <c r="B145" t="s">
        <v>25</v>
      </c>
      <c r="C145" t="s">
        <v>8</v>
      </c>
      <c r="D145">
        <v>12</v>
      </c>
      <c r="E145">
        <v>14000</v>
      </c>
      <c r="F145">
        <v>168000</v>
      </c>
      <c r="G145" t="str">
        <f t="shared" si="4"/>
        <v>Tinggi</v>
      </c>
    </row>
    <row r="146" spans="1:7" x14ac:dyDescent="0.3">
      <c r="A146" t="s">
        <v>52</v>
      </c>
      <c r="B146" t="s">
        <v>22</v>
      </c>
      <c r="C146" t="s">
        <v>15</v>
      </c>
      <c r="D146">
        <v>13</v>
      </c>
      <c r="E146">
        <v>15000</v>
      </c>
      <c r="F146">
        <v>195000</v>
      </c>
      <c r="G146" t="str">
        <f t="shared" si="4"/>
        <v>Tinggi</v>
      </c>
    </row>
    <row r="147" spans="1:7" x14ac:dyDescent="0.3">
      <c r="A147" t="s">
        <v>53</v>
      </c>
      <c r="B147" t="s">
        <v>20</v>
      </c>
      <c r="C147" t="s">
        <v>10</v>
      </c>
      <c r="D147">
        <v>2</v>
      </c>
      <c r="E147">
        <v>3500</v>
      </c>
      <c r="F147">
        <v>7000</v>
      </c>
      <c r="G147" t="str">
        <f t="shared" si="4"/>
        <v>Rendah</v>
      </c>
    </row>
    <row r="148" spans="1:7" x14ac:dyDescent="0.3">
      <c r="A148" t="s">
        <v>53</v>
      </c>
      <c r="B148" t="s">
        <v>29</v>
      </c>
      <c r="C148" t="s">
        <v>12</v>
      </c>
      <c r="D148">
        <v>10</v>
      </c>
      <c r="E148">
        <v>2000</v>
      </c>
      <c r="F148">
        <v>20000</v>
      </c>
      <c r="G148" t="str">
        <f t="shared" si="4"/>
        <v>Rendah</v>
      </c>
    </row>
    <row r="149" spans="1:7" x14ac:dyDescent="0.3">
      <c r="A149" t="s">
        <v>53</v>
      </c>
      <c r="B149" t="s">
        <v>14</v>
      </c>
      <c r="C149" t="s">
        <v>15</v>
      </c>
      <c r="D149">
        <v>2</v>
      </c>
      <c r="E149">
        <v>25000</v>
      </c>
      <c r="F149">
        <v>50000</v>
      </c>
      <c r="G149" t="str">
        <f t="shared" si="4"/>
        <v>Rendah</v>
      </c>
    </row>
    <row r="150" spans="1:7" x14ac:dyDescent="0.3">
      <c r="A150" t="s">
        <v>53</v>
      </c>
      <c r="B150" t="s">
        <v>14</v>
      </c>
      <c r="C150" t="s">
        <v>15</v>
      </c>
      <c r="D150">
        <v>1</v>
      </c>
      <c r="E150">
        <v>25000</v>
      </c>
      <c r="F150">
        <v>25000</v>
      </c>
      <c r="G150" t="str">
        <f t="shared" si="4"/>
        <v>Rendah</v>
      </c>
    </row>
    <row r="151" spans="1:7" x14ac:dyDescent="0.3">
      <c r="A151" t="s">
        <v>53</v>
      </c>
      <c r="B151" t="s">
        <v>29</v>
      </c>
      <c r="C151" t="s">
        <v>12</v>
      </c>
      <c r="D151">
        <v>14</v>
      </c>
      <c r="E151">
        <v>2000</v>
      </c>
      <c r="F151">
        <v>28000</v>
      </c>
      <c r="G151" t="str">
        <f t="shared" si="4"/>
        <v>Rendah</v>
      </c>
    </row>
    <row r="152" spans="1:7" x14ac:dyDescent="0.3">
      <c r="A152" t="s">
        <v>54</v>
      </c>
      <c r="B152" t="s">
        <v>17</v>
      </c>
      <c r="C152" t="s">
        <v>15</v>
      </c>
      <c r="D152">
        <v>1</v>
      </c>
      <c r="E152">
        <v>5000</v>
      </c>
      <c r="F152">
        <v>5000</v>
      </c>
      <c r="G152" t="str">
        <f t="shared" si="4"/>
        <v>Rendah</v>
      </c>
    </row>
    <row r="153" spans="1:7" x14ac:dyDescent="0.3">
      <c r="A153" t="s">
        <v>54</v>
      </c>
      <c r="B153" t="s">
        <v>20</v>
      </c>
      <c r="C153" t="s">
        <v>10</v>
      </c>
      <c r="D153">
        <v>2</v>
      </c>
      <c r="E153">
        <v>3500</v>
      </c>
      <c r="F153">
        <v>7000</v>
      </c>
      <c r="G153" t="str">
        <f t="shared" si="4"/>
        <v>Rendah</v>
      </c>
    </row>
    <row r="154" spans="1:7" x14ac:dyDescent="0.3">
      <c r="A154" t="s">
        <v>54</v>
      </c>
      <c r="B154" t="s">
        <v>7</v>
      </c>
      <c r="C154" t="s">
        <v>8</v>
      </c>
      <c r="D154">
        <v>1</v>
      </c>
      <c r="E154">
        <v>18000</v>
      </c>
      <c r="F154">
        <v>18000</v>
      </c>
      <c r="G154" t="str">
        <f t="shared" si="4"/>
        <v>Rendah</v>
      </c>
    </row>
    <row r="155" spans="1:7" x14ac:dyDescent="0.3">
      <c r="A155" t="s">
        <v>54</v>
      </c>
      <c r="B155" t="s">
        <v>25</v>
      </c>
      <c r="C155" t="s">
        <v>8</v>
      </c>
      <c r="D155">
        <v>4</v>
      </c>
      <c r="E155">
        <v>14000</v>
      </c>
      <c r="F155">
        <v>56000</v>
      </c>
      <c r="G155" t="str">
        <f t="shared" si="4"/>
        <v>Rendah</v>
      </c>
    </row>
    <row r="156" spans="1:7" x14ac:dyDescent="0.3">
      <c r="A156" t="s">
        <v>54</v>
      </c>
      <c r="B156" t="s">
        <v>20</v>
      </c>
      <c r="C156" t="s">
        <v>10</v>
      </c>
      <c r="D156">
        <v>5</v>
      </c>
      <c r="E156">
        <v>3500</v>
      </c>
      <c r="F156">
        <v>17500</v>
      </c>
      <c r="G156" t="str">
        <f t="shared" si="4"/>
        <v>Rendah</v>
      </c>
    </row>
    <row r="157" spans="1:7" x14ac:dyDescent="0.3">
      <c r="A157" t="s">
        <v>55</v>
      </c>
      <c r="B157" t="s">
        <v>17</v>
      </c>
      <c r="C157" t="s">
        <v>15</v>
      </c>
      <c r="D157">
        <v>11</v>
      </c>
      <c r="E157">
        <v>5000</v>
      </c>
      <c r="F157">
        <v>55000</v>
      </c>
      <c r="G157" t="str">
        <f t="shared" si="4"/>
        <v>Rendah</v>
      </c>
    </row>
    <row r="158" spans="1:7" x14ac:dyDescent="0.3">
      <c r="A158" t="s">
        <v>55</v>
      </c>
      <c r="B158" t="s">
        <v>37</v>
      </c>
      <c r="C158" t="s">
        <v>15</v>
      </c>
      <c r="D158">
        <v>14</v>
      </c>
      <c r="E158">
        <v>12000</v>
      </c>
      <c r="F158">
        <v>168000</v>
      </c>
      <c r="G158" t="str">
        <f t="shared" si="4"/>
        <v>Tinggi</v>
      </c>
    </row>
    <row r="159" spans="1:7" x14ac:dyDescent="0.3">
      <c r="A159" t="s">
        <v>55</v>
      </c>
      <c r="B159" t="s">
        <v>24</v>
      </c>
      <c r="C159" t="s">
        <v>12</v>
      </c>
      <c r="D159">
        <v>11</v>
      </c>
      <c r="E159">
        <v>5000</v>
      </c>
      <c r="F159">
        <v>55000</v>
      </c>
      <c r="G159" t="str">
        <f t="shared" si="4"/>
        <v>Rendah</v>
      </c>
    </row>
    <row r="160" spans="1:7" x14ac:dyDescent="0.3">
      <c r="A160" t="s">
        <v>55</v>
      </c>
      <c r="B160" t="s">
        <v>18</v>
      </c>
      <c r="C160" t="s">
        <v>12</v>
      </c>
      <c r="D160">
        <v>14</v>
      </c>
      <c r="E160">
        <v>7000</v>
      </c>
      <c r="F160">
        <v>98000</v>
      </c>
      <c r="G160" t="str">
        <f t="shared" si="4"/>
        <v>Tinggi</v>
      </c>
    </row>
    <row r="161" spans="1:7" x14ac:dyDescent="0.3">
      <c r="A161" t="s">
        <v>55</v>
      </c>
      <c r="B161" t="s">
        <v>9</v>
      </c>
      <c r="C161" t="s">
        <v>10</v>
      </c>
      <c r="D161">
        <v>15</v>
      </c>
      <c r="E161">
        <v>12000</v>
      </c>
      <c r="F161">
        <v>180000</v>
      </c>
      <c r="G161" t="str">
        <f t="shared" si="4"/>
        <v>Tinggi</v>
      </c>
    </row>
    <row r="162" spans="1:7" x14ac:dyDescent="0.3">
      <c r="A162" t="s">
        <v>56</v>
      </c>
      <c r="B162" t="s">
        <v>9</v>
      </c>
      <c r="C162" t="s">
        <v>10</v>
      </c>
      <c r="D162">
        <v>14</v>
      </c>
      <c r="E162">
        <v>12000</v>
      </c>
      <c r="F162">
        <v>168000</v>
      </c>
      <c r="G162" t="str">
        <f t="shared" ref="G162:G193" si="5">IF(F162&gt;70000,"Tinggi","Rendah")</f>
        <v>Tinggi</v>
      </c>
    </row>
    <row r="163" spans="1:7" x14ac:dyDescent="0.3">
      <c r="A163" t="s">
        <v>56</v>
      </c>
      <c r="B163" t="s">
        <v>9</v>
      </c>
      <c r="C163" t="s">
        <v>10</v>
      </c>
      <c r="D163">
        <v>11</v>
      </c>
      <c r="E163">
        <v>12000</v>
      </c>
      <c r="F163">
        <v>132000</v>
      </c>
      <c r="G163" t="str">
        <f t="shared" si="5"/>
        <v>Tinggi</v>
      </c>
    </row>
    <row r="164" spans="1:7" x14ac:dyDescent="0.3">
      <c r="A164" t="s">
        <v>56</v>
      </c>
      <c r="B164" t="s">
        <v>14</v>
      </c>
      <c r="C164" t="s">
        <v>15</v>
      </c>
      <c r="D164">
        <v>12</v>
      </c>
      <c r="E164">
        <v>25000</v>
      </c>
      <c r="F164">
        <v>300000</v>
      </c>
      <c r="G164" t="str">
        <f t="shared" si="5"/>
        <v>Tinggi</v>
      </c>
    </row>
    <row r="165" spans="1:7" x14ac:dyDescent="0.3">
      <c r="A165" t="s">
        <v>56</v>
      </c>
      <c r="B165" t="s">
        <v>17</v>
      </c>
      <c r="C165" t="s">
        <v>15</v>
      </c>
      <c r="D165">
        <v>1</v>
      </c>
      <c r="E165">
        <v>5000</v>
      </c>
      <c r="F165">
        <v>5000</v>
      </c>
      <c r="G165" t="str">
        <f t="shared" si="5"/>
        <v>Rendah</v>
      </c>
    </row>
    <row r="166" spans="1:7" x14ac:dyDescent="0.3">
      <c r="A166" t="s">
        <v>56</v>
      </c>
      <c r="B166" t="s">
        <v>18</v>
      </c>
      <c r="C166" t="s">
        <v>12</v>
      </c>
      <c r="D166">
        <v>1</v>
      </c>
      <c r="E166">
        <v>7000</v>
      </c>
      <c r="F166">
        <v>7000</v>
      </c>
      <c r="G166" t="str">
        <f t="shared" si="5"/>
        <v>Rendah</v>
      </c>
    </row>
    <row r="167" spans="1:7" x14ac:dyDescent="0.3">
      <c r="A167" t="s">
        <v>57</v>
      </c>
      <c r="B167" t="s">
        <v>37</v>
      </c>
      <c r="C167" t="s">
        <v>15</v>
      </c>
      <c r="D167">
        <v>1</v>
      </c>
      <c r="E167">
        <v>12000</v>
      </c>
      <c r="F167">
        <v>12000</v>
      </c>
      <c r="G167" t="str">
        <f t="shared" si="5"/>
        <v>Rendah</v>
      </c>
    </row>
    <row r="168" spans="1:7" x14ac:dyDescent="0.3">
      <c r="A168" t="s">
        <v>57</v>
      </c>
      <c r="B168" t="s">
        <v>21</v>
      </c>
      <c r="C168" t="s">
        <v>8</v>
      </c>
      <c r="D168">
        <v>15</v>
      </c>
      <c r="E168">
        <v>30000</v>
      </c>
      <c r="F168">
        <v>450000</v>
      </c>
      <c r="G168" t="str">
        <f t="shared" si="5"/>
        <v>Tinggi</v>
      </c>
    </row>
    <row r="169" spans="1:7" x14ac:dyDescent="0.3">
      <c r="A169" t="s">
        <v>57</v>
      </c>
      <c r="B169" t="s">
        <v>13</v>
      </c>
      <c r="C169" t="s">
        <v>8</v>
      </c>
      <c r="D169">
        <v>4</v>
      </c>
      <c r="E169">
        <v>75000</v>
      </c>
      <c r="F169">
        <v>300000</v>
      </c>
      <c r="G169" t="str">
        <f t="shared" si="5"/>
        <v>Tinggi</v>
      </c>
    </row>
    <row r="170" spans="1:7" x14ac:dyDescent="0.3">
      <c r="A170" t="s">
        <v>57</v>
      </c>
      <c r="B170" t="s">
        <v>9</v>
      </c>
      <c r="C170" t="s">
        <v>10</v>
      </c>
      <c r="D170">
        <v>2</v>
      </c>
      <c r="E170">
        <v>12000</v>
      </c>
      <c r="F170">
        <v>24000</v>
      </c>
      <c r="G170" t="str">
        <f t="shared" si="5"/>
        <v>Rendah</v>
      </c>
    </row>
    <row r="171" spans="1:7" x14ac:dyDescent="0.3">
      <c r="A171" t="s">
        <v>57</v>
      </c>
      <c r="B171" t="s">
        <v>37</v>
      </c>
      <c r="C171" t="s">
        <v>15</v>
      </c>
      <c r="D171">
        <v>8</v>
      </c>
      <c r="E171">
        <v>12000</v>
      </c>
      <c r="F171">
        <v>96000</v>
      </c>
      <c r="G171" t="str">
        <f t="shared" si="5"/>
        <v>Tinggi</v>
      </c>
    </row>
    <row r="172" spans="1:7" x14ac:dyDescent="0.3">
      <c r="A172" t="s">
        <v>58</v>
      </c>
      <c r="B172" t="s">
        <v>24</v>
      </c>
      <c r="C172" t="s">
        <v>12</v>
      </c>
      <c r="D172">
        <v>15</v>
      </c>
      <c r="E172">
        <v>5000</v>
      </c>
      <c r="F172">
        <v>75000</v>
      </c>
      <c r="G172" t="str">
        <f t="shared" si="5"/>
        <v>Tinggi</v>
      </c>
    </row>
    <row r="173" spans="1:7" x14ac:dyDescent="0.3">
      <c r="A173" t="s">
        <v>58</v>
      </c>
      <c r="B173" t="s">
        <v>13</v>
      </c>
      <c r="C173" t="s">
        <v>8</v>
      </c>
      <c r="D173">
        <v>2</v>
      </c>
      <c r="E173">
        <v>75000</v>
      </c>
      <c r="F173">
        <v>150000</v>
      </c>
      <c r="G173" t="str">
        <f t="shared" si="5"/>
        <v>Tinggi</v>
      </c>
    </row>
    <row r="174" spans="1:7" x14ac:dyDescent="0.3">
      <c r="A174" t="s">
        <v>58</v>
      </c>
      <c r="B174" t="s">
        <v>25</v>
      </c>
      <c r="C174" t="s">
        <v>8</v>
      </c>
      <c r="D174">
        <v>10</v>
      </c>
      <c r="E174">
        <v>14000</v>
      </c>
      <c r="F174">
        <v>140000</v>
      </c>
      <c r="G174" t="str">
        <f t="shared" si="5"/>
        <v>Tinggi</v>
      </c>
    </row>
    <row r="175" spans="1:7" x14ac:dyDescent="0.3">
      <c r="A175" t="s">
        <v>58</v>
      </c>
      <c r="B175" t="s">
        <v>14</v>
      </c>
      <c r="C175" t="s">
        <v>15</v>
      </c>
      <c r="D175">
        <v>13</v>
      </c>
      <c r="E175">
        <v>25000</v>
      </c>
      <c r="F175">
        <v>325000</v>
      </c>
      <c r="G175" t="str">
        <f t="shared" si="5"/>
        <v>Tinggi</v>
      </c>
    </row>
    <row r="176" spans="1:7" x14ac:dyDescent="0.3">
      <c r="A176" t="s">
        <v>58</v>
      </c>
      <c r="B176" t="s">
        <v>21</v>
      </c>
      <c r="C176" t="s">
        <v>8</v>
      </c>
      <c r="D176">
        <v>1</v>
      </c>
      <c r="E176">
        <v>30000</v>
      </c>
      <c r="F176">
        <v>30000</v>
      </c>
      <c r="G176" t="str">
        <f t="shared" si="5"/>
        <v>Rendah</v>
      </c>
    </row>
    <row r="177" spans="1:7" x14ac:dyDescent="0.3">
      <c r="A177" t="s">
        <v>59</v>
      </c>
      <c r="B177" t="s">
        <v>21</v>
      </c>
      <c r="C177" t="s">
        <v>8</v>
      </c>
      <c r="D177">
        <v>4</v>
      </c>
      <c r="E177">
        <v>30000</v>
      </c>
      <c r="F177">
        <v>120000</v>
      </c>
      <c r="G177" t="str">
        <f t="shared" si="5"/>
        <v>Tinggi</v>
      </c>
    </row>
    <row r="178" spans="1:7" x14ac:dyDescent="0.3">
      <c r="A178" t="s">
        <v>59</v>
      </c>
      <c r="B178" t="s">
        <v>24</v>
      </c>
      <c r="C178" t="s">
        <v>12</v>
      </c>
      <c r="D178">
        <v>7</v>
      </c>
      <c r="E178">
        <v>5000</v>
      </c>
      <c r="F178">
        <v>35000</v>
      </c>
      <c r="G178" t="str">
        <f t="shared" si="5"/>
        <v>Rendah</v>
      </c>
    </row>
    <row r="179" spans="1:7" x14ac:dyDescent="0.3">
      <c r="A179" t="s">
        <v>59</v>
      </c>
      <c r="B179" t="s">
        <v>17</v>
      </c>
      <c r="C179" t="s">
        <v>15</v>
      </c>
      <c r="D179">
        <v>8</v>
      </c>
      <c r="E179">
        <v>5000</v>
      </c>
      <c r="F179">
        <v>40000</v>
      </c>
      <c r="G179" t="str">
        <f t="shared" si="5"/>
        <v>Rendah</v>
      </c>
    </row>
    <row r="180" spans="1:7" x14ac:dyDescent="0.3">
      <c r="A180" t="s">
        <v>59</v>
      </c>
      <c r="B180" t="s">
        <v>14</v>
      </c>
      <c r="C180" t="s">
        <v>15</v>
      </c>
      <c r="D180">
        <v>12</v>
      </c>
      <c r="E180">
        <v>25000</v>
      </c>
      <c r="F180">
        <v>300000</v>
      </c>
      <c r="G180" t="str">
        <f t="shared" si="5"/>
        <v>Tinggi</v>
      </c>
    </row>
    <row r="181" spans="1:7" x14ac:dyDescent="0.3">
      <c r="A181" t="s">
        <v>59</v>
      </c>
      <c r="B181" t="s">
        <v>21</v>
      </c>
      <c r="C181" t="s">
        <v>8</v>
      </c>
      <c r="D181">
        <v>14</v>
      </c>
      <c r="E181">
        <v>30000</v>
      </c>
      <c r="F181">
        <v>420000</v>
      </c>
      <c r="G181" t="str">
        <f t="shared" si="5"/>
        <v>Tinggi</v>
      </c>
    </row>
    <row r="182" spans="1:7" x14ac:dyDescent="0.3">
      <c r="A182" t="s">
        <v>60</v>
      </c>
      <c r="B182" t="s">
        <v>22</v>
      </c>
      <c r="C182" t="s">
        <v>15</v>
      </c>
      <c r="D182">
        <v>9</v>
      </c>
      <c r="E182">
        <v>15000</v>
      </c>
      <c r="F182">
        <v>135000</v>
      </c>
      <c r="G182" t="str">
        <f t="shared" si="5"/>
        <v>Tinggi</v>
      </c>
    </row>
    <row r="183" spans="1:7" x14ac:dyDescent="0.3">
      <c r="A183" t="s">
        <v>60</v>
      </c>
      <c r="B183" t="s">
        <v>29</v>
      </c>
      <c r="C183" t="s">
        <v>12</v>
      </c>
      <c r="D183">
        <v>5</v>
      </c>
      <c r="E183">
        <v>2000</v>
      </c>
      <c r="F183">
        <v>10000</v>
      </c>
      <c r="G183" t="str">
        <f t="shared" si="5"/>
        <v>Rendah</v>
      </c>
    </row>
    <row r="184" spans="1:7" x14ac:dyDescent="0.3">
      <c r="A184" t="s">
        <v>60</v>
      </c>
      <c r="B184" t="s">
        <v>18</v>
      </c>
      <c r="C184" t="s">
        <v>12</v>
      </c>
      <c r="D184">
        <v>5</v>
      </c>
      <c r="E184">
        <v>7000</v>
      </c>
      <c r="F184">
        <v>35000</v>
      </c>
      <c r="G184" t="str">
        <f t="shared" si="5"/>
        <v>Rendah</v>
      </c>
    </row>
    <row r="185" spans="1:7" x14ac:dyDescent="0.3">
      <c r="A185" t="s">
        <v>60</v>
      </c>
      <c r="B185" t="s">
        <v>11</v>
      </c>
      <c r="C185" t="s">
        <v>12</v>
      </c>
      <c r="D185">
        <v>12</v>
      </c>
      <c r="E185">
        <v>3000</v>
      </c>
      <c r="F185">
        <v>36000</v>
      </c>
      <c r="G185" t="str">
        <f t="shared" si="5"/>
        <v>Rendah</v>
      </c>
    </row>
    <row r="186" spans="1:7" x14ac:dyDescent="0.3">
      <c r="A186" t="s">
        <v>60</v>
      </c>
      <c r="B186" t="s">
        <v>37</v>
      </c>
      <c r="C186" t="s">
        <v>15</v>
      </c>
      <c r="D186">
        <v>15</v>
      </c>
      <c r="E186">
        <v>12000</v>
      </c>
      <c r="F186">
        <v>180000</v>
      </c>
      <c r="G186" t="str">
        <f t="shared" si="5"/>
        <v>Tinggi</v>
      </c>
    </row>
    <row r="187" spans="1:7" x14ac:dyDescent="0.3">
      <c r="A187" t="s">
        <v>61</v>
      </c>
      <c r="B187" t="s">
        <v>24</v>
      </c>
      <c r="C187" t="s">
        <v>12</v>
      </c>
      <c r="D187">
        <v>4</v>
      </c>
      <c r="E187">
        <v>5000</v>
      </c>
      <c r="F187">
        <v>20000</v>
      </c>
      <c r="G187" t="str">
        <f t="shared" si="5"/>
        <v>Rendah</v>
      </c>
    </row>
    <row r="188" spans="1:7" x14ac:dyDescent="0.3">
      <c r="A188" t="s">
        <v>61</v>
      </c>
      <c r="B188" t="s">
        <v>9</v>
      </c>
      <c r="C188" t="s">
        <v>10</v>
      </c>
      <c r="D188">
        <v>10</v>
      </c>
      <c r="E188">
        <v>12000</v>
      </c>
      <c r="F188">
        <v>120000</v>
      </c>
      <c r="G188" t="str">
        <f t="shared" si="5"/>
        <v>Tinggi</v>
      </c>
    </row>
    <row r="189" spans="1:7" x14ac:dyDescent="0.3">
      <c r="A189" t="s">
        <v>61</v>
      </c>
      <c r="B189" t="s">
        <v>11</v>
      </c>
      <c r="C189" t="s">
        <v>12</v>
      </c>
      <c r="D189">
        <v>3</v>
      </c>
      <c r="E189">
        <v>3000</v>
      </c>
      <c r="F189">
        <v>9000</v>
      </c>
      <c r="G189" t="str">
        <f t="shared" si="5"/>
        <v>Rendah</v>
      </c>
    </row>
    <row r="190" spans="1:7" x14ac:dyDescent="0.3">
      <c r="A190" t="s">
        <v>61</v>
      </c>
      <c r="B190" t="s">
        <v>20</v>
      </c>
      <c r="C190" t="s">
        <v>10</v>
      </c>
      <c r="D190">
        <v>7</v>
      </c>
      <c r="E190">
        <v>3500</v>
      </c>
      <c r="F190">
        <v>24500</v>
      </c>
      <c r="G190" t="str">
        <f t="shared" si="5"/>
        <v>Rendah</v>
      </c>
    </row>
    <row r="191" spans="1:7" x14ac:dyDescent="0.3">
      <c r="A191" t="s">
        <v>61</v>
      </c>
      <c r="B191" t="s">
        <v>18</v>
      </c>
      <c r="C191" t="s">
        <v>12</v>
      </c>
      <c r="D191">
        <v>9</v>
      </c>
      <c r="E191">
        <v>7000</v>
      </c>
      <c r="F191">
        <v>63000</v>
      </c>
      <c r="G191" t="str">
        <f t="shared" si="5"/>
        <v>Rendah</v>
      </c>
    </row>
    <row r="192" spans="1:7" x14ac:dyDescent="0.3">
      <c r="A192" t="s">
        <v>62</v>
      </c>
      <c r="B192" t="s">
        <v>37</v>
      </c>
      <c r="C192" t="s">
        <v>15</v>
      </c>
      <c r="D192">
        <v>11</v>
      </c>
      <c r="E192">
        <v>12000</v>
      </c>
      <c r="F192">
        <v>132000</v>
      </c>
      <c r="G192" t="str">
        <f t="shared" si="5"/>
        <v>Tinggi</v>
      </c>
    </row>
    <row r="193" spans="1:7" x14ac:dyDescent="0.3">
      <c r="A193" t="s">
        <v>62</v>
      </c>
      <c r="B193" t="s">
        <v>22</v>
      </c>
      <c r="C193" t="s">
        <v>15</v>
      </c>
      <c r="D193">
        <v>2</v>
      </c>
      <c r="E193">
        <v>15000</v>
      </c>
      <c r="F193">
        <v>30000</v>
      </c>
      <c r="G193" t="str">
        <f t="shared" si="5"/>
        <v>Rendah</v>
      </c>
    </row>
    <row r="194" spans="1:7" x14ac:dyDescent="0.3">
      <c r="A194" t="s">
        <v>62</v>
      </c>
      <c r="B194" t="s">
        <v>20</v>
      </c>
      <c r="C194" t="s">
        <v>10</v>
      </c>
      <c r="D194">
        <v>12</v>
      </c>
      <c r="E194">
        <v>3500</v>
      </c>
      <c r="F194">
        <v>42000</v>
      </c>
      <c r="G194" t="str">
        <f t="shared" ref="G194:G225" si="6">IF(F194&gt;70000,"Tinggi","Rendah")</f>
        <v>Rendah</v>
      </c>
    </row>
    <row r="195" spans="1:7" x14ac:dyDescent="0.3">
      <c r="A195" t="s">
        <v>62</v>
      </c>
      <c r="B195" t="s">
        <v>25</v>
      </c>
      <c r="C195" t="s">
        <v>8</v>
      </c>
      <c r="D195">
        <v>9</v>
      </c>
      <c r="E195">
        <v>14000</v>
      </c>
      <c r="F195">
        <v>126000</v>
      </c>
      <c r="G195" t="str">
        <f t="shared" si="6"/>
        <v>Tinggi</v>
      </c>
    </row>
    <row r="196" spans="1:7" x14ac:dyDescent="0.3">
      <c r="A196" t="s">
        <v>62</v>
      </c>
      <c r="B196" t="s">
        <v>17</v>
      </c>
      <c r="C196" t="s">
        <v>15</v>
      </c>
      <c r="D196">
        <v>7</v>
      </c>
      <c r="E196">
        <v>5000</v>
      </c>
      <c r="F196">
        <v>35000</v>
      </c>
      <c r="G196" t="str">
        <f t="shared" si="6"/>
        <v>Rendah</v>
      </c>
    </row>
    <row r="197" spans="1:7" x14ac:dyDescent="0.3">
      <c r="A197" t="s">
        <v>63</v>
      </c>
      <c r="B197" t="s">
        <v>29</v>
      </c>
      <c r="C197" t="s">
        <v>12</v>
      </c>
      <c r="D197">
        <v>1</v>
      </c>
      <c r="E197">
        <v>2000</v>
      </c>
      <c r="F197">
        <v>2000</v>
      </c>
      <c r="G197" t="str">
        <f t="shared" si="6"/>
        <v>Rendah</v>
      </c>
    </row>
    <row r="198" spans="1:7" x14ac:dyDescent="0.3">
      <c r="A198" t="s">
        <v>63</v>
      </c>
      <c r="B198" t="s">
        <v>29</v>
      </c>
      <c r="C198" t="s">
        <v>12</v>
      </c>
      <c r="D198">
        <v>10</v>
      </c>
      <c r="E198">
        <v>2000</v>
      </c>
      <c r="F198">
        <v>20000</v>
      </c>
      <c r="G198" t="str">
        <f t="shared" si="6"/>
        <v>Rendah</v>
      </c>
    </row>
    <row r="199" spans="1:7" x14ac:dyDescent="0.3">
      <c r="A199" t="s">
        <v>63</v>
      </c>
      <c r="B199" t="s">
        <v>29</v>
      </c>
      <c r="C199" t="s">
        <v>12</v>
      </c>
      <c r="D199">
        <v>11</v>
      </c>
      <c r="E199">
        <v>2000</v>
      </c>
      <c r="F199">
        <v>22000</v>
      </c>
      <c r="G199" t="str">
        <f t="shared" si="6"/>
        <v>Rendah</v>
      </c>
    </row>
    <row r="200" spans="1:7" x14ac:dyDescent="0.3">
      <c r="A200" t="s">
        <v>63</v>
      </c>
      <c r="B200" t="s">
        <v>29</v>
      </c>
      <c r="C200" t="s">
        <v>12</v>
      </c>
      <c r="D200">
        <v>15</v>
      </c>
      <c r="E200">
        <v>2000</v>
      </c>
      <c r="F200">
        <v>30000</v>
      </c>
      <c r="G200" t="str">
        <f t="shared" si="6"/>
        <v>Rendah</v>
      </c>
    </row>
    <row r="201" spans="1:7" x14ac:dyDescent="0.3">
      <c r="A201" t="s">
        <v>63</v>
      </c>
      <c r="B201" t="s">
        <v>17</v>
      </c>
      <c r="C201" t="s">
        <v>15</v>
      </c>
      <c r="D201">
        <v>4</v>
      </c>
      <c r="E201">
        <v>5000</v>
      </c>
      <c r="F201">
        <v>20000</v>
      </c>
      <c r="G201" t="str">
        <f t="shared" si="6"/>
        <v>Rendah</v>
      </c>
    </row>
    <row r="202" spans="1:7" x14ac:dyDescent="0.3">
      <c r="A202" s="4"/>
      <c r="B202" s="4"/>
      <c r="C202" s="4"/>
      <c r="D202" s="4"/>
      <c r="E202" s="4"/>
      <c r="F202">
        <f>SUM(F2:F201)</f>
        <v>22210500</v>
      </c>
      <c r="G202" s="3"/>
    </row>
    <row r="203" spans="1:7" x14ac:dyDescent="0.3">
      <c r="A203" s="9" t="s">
        <v>65</v>
      </c>
      <c r="B203" s="10"/>
      <c r="C203" s="10"/>
      <c r="D203" s="10"/>
      <c r="E203" s="11"/>
      <c r="F203" s="2">
        <f>AVERAGE(F2:F201)</f>
        <v>111052.5</v>
      </c>
      <c r="G203" s="5"/>
    </row>
    <row r="204" spans="1:7" x14ac:dyDescent="0.3">
      <c r="A204" s="3"/>
      <c r="G204" s="3"/>
    </row>
    <row r="207" spans="1:7" x14ac:dyDescent="0.3">
      <c r="G207" s="1"/>
    </row>
  </sheetData>
  <mergeCells count="1">
    <mergeCell ref="A203:E203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Table</vt:lpstr>
      <vt:lpstr>Data_1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Tri Adhi Suryo Nugroho</cp:lastModifiedBy>
  <dcterms:created xsi:type="dcterms:W3CDTF">2026-04-09T08:49:21Z</dcterms:created>
  <dcterms:modified xsi:type="dcterms:W3CDTF">2026-04-09T09:01:51Z</dcterms:modified>
</cp:coreProperties>
</file>