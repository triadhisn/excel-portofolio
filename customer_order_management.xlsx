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Portofolio\"/>
    </mc:Choice>
  </mc:AlternateContent>
  <xr:revisionPtr revIDLastSave="0" documentId="13_ncr:1_{BD76F2A7-6A71-43C0-8CB3-ACC1010D0DF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Orders" sheetId="1" r:id="rId1"/>
    <sheet name="Pivot Table" sheetId="3" r:id="rId2"/>
    <sheet name="Dashboard" sheetId="4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1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2" i="1"/>
</calcChain>
</file>

<file path=xl/sharedStrings.xml><?xml version="1.0" encoding="utf-8"?>
<sst xmlns="http://schemas.openxmlformats.org/spreadsheetml/2006/main" count="4428" uniqueCount="1974">
  <si>
    <t>Order ID</t>
  </si>
  <si>
    <t>Customer Name</t>
  </si>
  <si>
    <t>Phone Number</t>
  </si>
  <si>
    <t>City</t>
  </si>
  <si>
    <t>Product Name</t>
  </si>
  <si>
    <t>Quantity</t>
  </si>
  <si>
    <t>Unit Price</t>
  </si>
  <si>
    <t>Total Price</t>
  </si>
  <si>
    <t>Order Date</t>
  </si>
  <si>
    <t>Payment Status</t>
  </si>
  <si>
    <t>Shipping Status</t>
  </si>
  <si>
    <t>ORD0001</t>
  </si>
  <si>
    <t>Customer 1</t>
  </si>
  <si>
    <t>082388565497</t>
  </si>
  <si>
    <t>Makassar</t>
  </si>
  <si>
    <t>Monitor</t>
  </si>
  <si>
    <t>2025-04-26</t>
  </si>
  <si>
    <t>Pending</t>
  </si>
  <si>
    <t>Processing</t>
  </si>
  <si>
    <t>ORD0002</t>
  </si>
  <si>
    <t>Customer 2</t>
  </si>
  <si>
    <t>081848551482</t>
  </si>
  <si>
    <t>2025-03-31</t>
  </si>
  <si>
    <t>Paid</t>
  </si>
  <si>
    <t>ORD0003</t>
  </si>
  <si>
    <t>Customer 3</t>
  </si>
  <si>
    <t>082216099483</t>
  </si>
  <si>
    <t>Denpasar</t>
  </si>
  <si>
    <t>2025-07-02</t>
  </si>
  <si>
    <t>Shipped</t>
  </si>
  <si>
    <t>ORD0004</t>
  </si>
  <si>
    <t>Customer 4</t>
  </si>
  <si>
    <t>089924643743</t>
  </si>
  <si>
    <t>Malang</t>
  </si>
  <si>
    <t>Mouse</t>
  </si>
  <si>
    <t>2025-05-23</t>
  </si>
  <si>
    <t>ORD0005</t>
  </si>
  <si>
    <t>Customer 5</t>
  </si>
  <si>
    <t>086464221721</t>
  </si>
  <si>
    <t>Bandung</t>
  </si>
  <si>
    <t>Headset</t>
  </si>
  <si>
    <t>2025-08-26</t>
  </si>
  <si>
    <t>ORD0006</t>
  </si>
  <si>
    <t>Customer 6</t>
  </si>
  <si>
    <t>088440453226</t>
  </si>
  <si>
    <t>2025-11-08</t>
  </si>
  <si>
    <t>Delivered</t>
  </si>
  <si>
    <t>ORD0007</t>
  </si>
  <si>
    <t>Customer 7</t>
  </si>
  <si>
    <t>083081554796</t>
  </si>
  <si>
    <t>Surabaya</t>
  </si>
  <si>
    <t>2025-05-07</t>
  </si>
  <si>
    <t>ORD0008</t>
  </si>
  <si>
    <t>Customer 8</t>
  </si>
  <si>
    <t>087198170273</t>
  </si>
  <si>
    <t>Keyboard</t>
  </si>
  <si>
    <t>2025-11-13</t>
  </si>
  <si>
    <t>ORD0009</t>
  </si>
  <si>
    <t>Customer 9</t>
  </si>
  <si>
    <t>086599263745</t>
  </si>
  <si>
    <t>2025-05-05</t>
  </si>
  <si>
    <t>ORD0010</t>
  </si>
  <si>
    <t>Customer 10</t>
  </si>
  <si>
    <t>086260729673</t>
  </si>
  <si>
    <t>Yogyakarta</t>
  </si>
  <si>
    <t>2025-11-16</t>
  </si>
  <si>
    <t>ORD0011</t>
  </si>
  <si>
    <t>Customer 11</t>
  </si>
  <si>
    <t>082824335462</t>
  </si>
  <si>
    <t>SSD</t>
  </si>
  <si>
    <t>2025-04-02</t>
  </si>
  <si>
    <t>ORD0012</t>
  </si>
  <si>
    <t>Customer 12</t>
  </si>
  <si>
    <t>085905902658</t>
  </si>
  <si>
    <t>USB Cable</t>
  </si>
  <si>
    <t>2025-06-29</t>
  </si>
  <si>
    <t>ORD0013</t>
  </si>
  <si>
    <t>Customer 13</t>
  </si>
  <si>
    <t>089504255925</t>
  </si>
  <si>
    <t>2025-09-18</t>
  </si>
  <si>
    <t>ORD0014</t>
  </si>
  <si>
    <t>Customer 14</t>
  </si>
  <si>
    <t>086049862364</t>
  </si>
  <si>
    <t>2025-02-25</t>
  </si>
  <si>
    <t>ORD0015</t>
  </si>
  <si>
    <t>Customer 15</t>
  </si>
  <si>
    <t>087008987391</t>
  </si>
  <si>
    <t>2025-02-11</t>
  </si>
  <si>
    <t>ORD0016</t>
  </si>
  <si>
    <t>Customer 16</t>
  </si>
  <si>
    <t>084614074320</t>
  </si>
  <si>
    <t>2025-10-05</t>
  </si>
  <si>
    <t>ORD0017</t>
  </si>
  <si>
    <t>Customer 17</t>
  </si>
  <si>
    <t>083034793205</t>
  </si>
  <si>
    <t>2025-03-11</t>
  </si>
  <si>
    <t>ORD0018</t>
  </si>
  <si>
    <t>Customer 18</t>
  </si>
  <si>
    <t>087808531500</t>
  </si>
  <si>
    <t>2025-02-06</t>
  </si>
  <si>
    <t>ORD0019</t>
  </si>
  <si>
    <t>Customer 19</t>
  </si>
  <si>
    <t>088620134501</t>
  </si>
  <si>
    <t>2025-10-06</t>
  </si>
  <si>
    <t>ORD0020</t>
  </si>
  <si>
    <t>Customer 20</t>
  </si>
  <si>
    <t>085577150609</t>
  </si>
  <si>
    <t>2025-11-09</t>
  </si>
  <si>
    <t>ORD0021</t>
  </si>
  <si>
    <t>Customer 21</t>
  </si>
  <si>
    <t>088274962972</t>
  </si>
  <si>
    <t>2025-08-17</t>
  </si>
  <si>
    <t>ORD0022</t>
  </si>
  <si>
    <t>Customer 22</t>
  </si>
  <si>
    <t>085382451900</t>
  </si>
  <si>
    <t>2025-02-08</t>
  </si>
  <si>
    <t>ORD0023</t>
  </si>
  <si>
    <t>Customer 23</t>
  </si>
  <si>
    <t>083526903250</t>
  </si>
  <si>
    <t>2025-11-06</t>
  </si>
  <si>
    <t>ORD0024</t>
  </si>
  <si>
    <t>Customer 24</t>
  </si>
  <si>
    <t>088743981050</t>
  </si>
  <si>
    <t>Jakarta</t>
  </si>
  <si>
    <t>2025-12-29</t>
  </si>
  <si>
    <t>ORD0025</t>
  </si>
  <si>
    <t>Customer 25</t>
  </si>
  <si>
    <t>083386379792</t>
  </si>
  <si>
    <t>2025-07-01</t>
  </si>
  <si>
    <t>ORD0026</t>
  </si>
  <si>
    <t>Customer 26</t>
  </si>
  <si>
    <t>087249335028</t>
  </si>
  <si>
    <t>2025-10-03</t>
  </si>
  <si>
    <t>ORD0027</t>
  </si>
  <si>
    <t>Customer 27</t>
  </si>
  <si>
    <t>087256569090</t>
  </si>
  <si>
    <t>2025-03-22</t>
  </si>
  <si>
    <t>ORD0028</t>
  </si>
  <si>
    <t>Customer 28</t>
  </si>
  <si>
    <t>084527806077</t>
  </si>
  <si>
    <t>2025-09-20</t>
  </si>
  <si>
    <t>ORD0029</t>
  </si>
  <si>
    <t>Customer 29</t>
  </si>
  <si>
    <t>086171063327</t>
  </si>
  <si>
    <t>2025-06-27</t>
  </si>
  <si>
    <t>ORD0030</t>
  </si>
  <si>
    <t>Customer 30</t>
  </si>
  <si>
    <t>084193348358</t>
  </si>
  <si>
    <t>2025-09-12</t>
  </si>
  <si>
    <t>ORD0031</t>
  </si>
  <si>
    <t>Customer 31</t>
  </si>
  <si>
    <t>083739075511</t>
  </si>
  <si>
    <t>2025-10-04</t>
  </si>
  <si>
    <t>ORD0032</t>
  </si>
  <si>
    <t>Customer 32</t>
  </si>
  <si>
    <t>084270755556</t>
  </si>
  <si>
    <t>ORD0033</t>
  </si>
  <si>
    <t>Customer 33</t>
  </si>
  <si>
    <t>082016485748</t>
  </si>
  <si>
    <t>2025-01-01</t>
  </si>
  <si>
    <t>ORD0034</t>
  </si>
  <si>
    <t>Customer 34</t>
  </si>
  <si>
    <t>081350140364</t>
  </si>
  <si>
    <t>Laptop Stand</t>
  </si>
  <si>
    <t>2025-11-18</t>
  </si>
  <si>
    <t>ORD0035</t>
  </si>
  <si>
    <t>Customer 35</t>
  </si>
  <si>
    <t>087939844202</t>
  </si>
  <si>
    <t>2025-07-08</t>
  </si>
  <si>
    <t>ORD0036</t>
  </si>
  <si>
    <t>Customer 36</t>
  </si>
  <si>
    <t>082729254666</t>
  </si>
  <si>
    <t>2025-05-17</t>
  </si>
  <si>
    <t>ORD0037</t>
  </si>
  <si>
    <t>Customer 37</t>
  </si>
  <si>
    <t>083715375564</t>
  </si>
  <si>
    <t>2025-06-18</t>
  </si>
  <si>
    <t>ORD0038</t>
  </si>
  <si>
    <t>Customer 38</t>
  </si>
  <si>
    <t>082789891153</t>
  </si>
  <si>
    <t>2025-12-10</t>
  </si>
  <si>
    <t>ORD0039</t>
  </si>
  <si>
    <t>Customer 39</t>
  </si>
  <si>
    <t>086405947064</t>
  </si>
  <si>
    <t>2025-09-10</t>
  </si>
  <si>
    <t>ORD0040</t>
  </si>
  <si>
    <t>Customer 40</t>
  </si>
  <si>
    <t>088230359493</t>
  </si>
  <si>
    <t>2025-02-12</t>
  </si>
  <si>
    <t>ORD0041</t>
  </si>
  <si>
    <t>Customer 41</t>
  </si>
  <si>
    <t>082741695654</t>
  </si>
  <si>
    <t>2025-11-12</t>
  </si>
  <si>
    <t>ORD0042</t>
  </si>
  <si>
    <t>Customer 42</t>
  </si>
  <si>
    <t>082876227728</t>
  </si>
  <si>
    <t>2025-07-17</t>
  </si>
  <si>
    <t>ORD0043</t>
  </si>
  <si>
    <t>Customer 43</t>
  </si>
  <si>
    <t>089702483468</t>
  </si>
  <si>
    <t>2025-05-14</t>
  </si>
  <si>
    <t>ORD0044</t>
  </si>
  <si>
    <t>Customer 44</t>
  </si>
  <si>
    <t>081906024624</t>
  </si>
  <si>
    <t>2025-10-02</t>
  </si>
  <si>
    <t>ORD0045</t>
  </si>
  <si>
    <t>Customer 45</t>
  </si>
  <si>
    <t>089783107439</t>
  </si>
  <si>
    <t>2025-08-02</t>
  </si>
  <si>
    <t>ORD0046</t>
  </si>
  <si>
    <t>Customer 46</t>
  </si>
  <si>
    <t>085470952347</t>
  </si>
  <si>
    <t>2025-05-15</t>
  </si>
  <si>
    <t>ORD0047</t>
  </si>
  <si>
    <t>Customer 47</t>
  </si>
  <si>
    <t>087114736979</t>
  </si>
  <si>
    <t>2025-08-03</t>
  </si>
  <si>
    <t>ORD0048</t>
  </si>
  <si>
    <t>Customer 48</t>
  </si>
  <si>
    <t>086376101114</t>
  </si>
  <si>
    <t>2025-10-21</t>
  </si>
  <si>
    <t>ORD0049</t>
  </si>
  <si>
    <t>Customer 49</t>
  </si>
  <si>
    <t>083755776469</t>
  </si>
  <si>
    <t>2025-04-18</t>
  </si>
  <si>
    <t>ORD0050</t>
  </si>
  <si>
    <t>Customer 50</t>
  </si>
  <si>
    <t>082858440782</t>
  </si>
  <si>
    <t>2025-06-08</t>
  </si>
  <si>
    <t>ORD0051</t>
  </si>
  <si>
    <t>Customer 51</t>
  </si>
  <si>
    <t>089375532477</t>
  </si>
  <si>
    <t>2025-11-17</t>
  </si>
  <si>
    <t>ORD0052</t>
  </si>
  <si>
    <t>Customer 52</t>
  </si>
  <si>
    <t>084762824957</t>
  </si>
  <si>
    <t>ORD0053</t>
  </si>
  <si>
    <t>Customer 53</t>
  </si>
  <si>
    <t>086353594689</t>
  </si>
  <si>
    <t>2025-02-03</t>
  </si>
  <si>
    <t>ORD0054</t>
  </si>
  <si>
    <t>Customer 54</t>
  </si>
  <si>
    <t>089820459100</t>
  </si>
  <si>
    <t>2025-10-26</t>
  </si>
  <si>
    <t>ORD0055</t>
  </si>
  <si>
    <t>Customer 55</t>
  </si>
  <si>
    <t>089242699315</t>
  </si>
  <si>
    <t>ORD0056</t>
  </si>
  <si>
    <t>Customer 56</t>
  </si>
  <si>
    <t>081292468210</t>
  </si>
  <si>
    <t>ORD0057</t>
  </si>
  <si>
    <t>Customer 57</t>
  </si>
  <si>
    <t>083634648238</t>
  </si>
  <si>
    <t>ORD0058</t>
  </si>
  <si>
    <t>Customer 58</t>
  </si>
  <si>
    <t>089065134668</t>
  </si>
  <si>
    <t>2025-05-18</t>
  </si>
  <si>
    <t>ORD0059</t>
  </si>
  <si>
    <t>Customer 59</t>
  </si>
  <si>
    <t>081187705737</t>
  </si>
  <si>
    <t>2025-10-23</t>
  </si>
  <si>
    <t>ORD0060</t>
  </si>
  <si>
    <t>Customer 60</t>
  </si>
  <si>
    <t>089366158913</t>
  </si>
  <si>
    <t>2025-05-30</t>
  </si>
  <si>
    <t>ORD0061</t>
  </si>
  <si>
    <t>Customer 61</t>
  </si>
  <si>
    <t>089957632631</t>
  </si>
  <si>
    <t>2025-11-25</t>
  </si>
  <si>
    <t>ORD0062</t>
  </si>
  <si>
    <t>Customer 62</t>
  </si>
  <si>
    <t>085140656216</t>
  </si>
  <si>
    <t>2025-06-15</t>
  </si>
  <si>
    <t>ORD0063</t>
  </si>
  <si>
    <t>Customer 63</t>
  </si>
  <si>
    <t>082544246574</t>
  </si>
  <si>
    <t>2025-04-09</t>
  </si>
  <si>
    <t>ORD0064</t>
  </si>
  <si>
    <t>Customer 64</t>
  </si>
  <si>
    <t>087152452563</t>
  </si>
  <si>
    <t>2025-09-06</t>
  </si>
  <si>
    <t>ORD0065</t>
  </si>
  <si>
    <t>Customer 65</t>
  </si>
  <si>
    <t>084138098287</t>
  </si>
  <si>
    <t>2025-12-24</t>
  </si>
  <si>
    <t>ORD0066</t>
  </si>
  <si>
    <t>Customer 66</t>
  </si>
  <si>
    <t>086265695093</t>
  </si>
  <si>
    <t>2025-11-14</t>
  </si>
  <si>
    <t>ORD0067</t>
  </si>
  <si>
    <t>Customer 67</t>
  </si>
  <si>
    <t>082655067528</t>
  </si>
  <si>
    <t>2025-11-22</t>
  </si>
  <si>
    <t>ORD0068</t>
  </si>
  <si>
    <t>Customer 68</t>
  </si>
  <si>
    <t>088901143781</t>
  </si>
  <si>
    <t>2025-07-03</t>
  </si>
  <si>
    <t>ORD0069</t>
  </si>
  <si>
    <t>Customer 69</t>
  </si>
  <si>
    <t>086850972135</t>
  </si>
  <si>
    <t>2025-03-10</t>
  </si>
  <si>
    <t>ORD0070</t>
  </si>
  <si>
    <t>Customer 70</t>
  </si>
  <si>
    <t>088836277825</t>
  </si>
  <si>
    <t>2025-01-12</t>
  </si>
  <si>
    <t>ORD0071</t>
  </si>
  <si>
    <t>Customer 71</t>
  </si>
  <si>
    <t>084333661429</t>
  </si>
  <si>
    <t>2025-05-08</t>
  </si>
  <si>
    <t>ORD0072</t>
  </si>
  <si>
    <t>Customer 72</t>
  </si>
  <si>
    <t>089562163936</t>
  </si>
  <si>
    <t>2025-10-29</t>
  </si>
  <si>
    <t>ORD0073</t>
  </si>
  <si>
    <t>Customer 73</t>
  </si>
  <si>
    <t>086746403389</t>
  </si>
  <si>
    <t>2025-02-05</t>
  </si>
  <si>
    <t>ORD0074</t>
  </si>
  <si>
    <t>Customer 74</t>
  </si>
  <si>
    <t>089618779209</t>
  </si>
  <si>
    <t>2025-07-31</t>
  </si>
  <si>
    <t>ORD0075</t>
  </si>
  <si>
    <t>Customer 75</t>
  </si>
  <si>
    <t>082814696498</t>
  </si>
  <si>
    <t>2025-01-23</t>
  </si>
  <si>
    <t>ORD0076</t>
  </si>
  <si>
    <t>Customer 76</t>
  </si>
  <si>
    <t>084005055026</t>
  </si>
  <si>
    <t>ORD0077</t>
  </si>
  <si>
    <t>Customer 77</t>
  </si>
  <si>
    <t>082435463584</t>
  </si>
  <si>
    <t>2025-11-21</t>
  </si>
  <si>
    <t>ORD0078</t>
  </si>
  <si>
    <t>Customer 78</t>
  </si>
  <si>
    <t>084923839968</t>
  </si>
  <si>
    <t>2025-02-21</t>
  </si>
  <si>
    <t>ORD0079</t>
  </si>
  <si>
    <t>Customer 79</t>
  </si>
  <si>
    <t>089339865487</t>
  </si>
  <si>
    <t>2025-11-02</t>
  </si>
  <si>
    <t>ORD0080</t>
  </si>
  <si>
    <t>Customer 80</t>
  </si>
  <si>
    <t>086038294723</t>
  </si>
  <si>
    <t>2025-10-20</t>
  </si>
  <si>
    <t>ORD0081</t>
  </si>
  <si>
    <t>Customer 81</t>
  </si>
  <si>
    <t>081038513239</t>
  </si>
  <si>
    <t>2025-04-23</t>
  </si>
  <si>
    <t>ORD0082</t>
  </si>
  <si>
    <t>Customer 82</t>
  </si>
  <si>
    <t>087683412728</t>
  </si>
  <si>
    <t>2025-09-29</t>
  </si>
  <si>
    <t>ORD0083</t>
  </si>
  <si>
    <t>Customer 83</t>
  </si>
  <si>
    <t>084086869028</t>
  </si>
  <si>
    <t>2025-09-30</t>
  </si>
  <si>
    <t>ORD0084</t>
  </si>
  <si>
    <t>Customer 84</t>
  </si>
  <si>
    <t>084009713423</t>
  </si>
  <si>
    <t>2025-01-15</t>
  </si>
  <si>
    <t>ORD0085</t>
  </si>
  <si>
    <t>Customer 85</t>
  </si>
  <si>
    <t>082356466763</t>
  </si>
  <si>
    <t>2025-09-15</t>
  </si>
  <si>
    <t>ORD0086</t>
  </si>
  <si>
    <t>Customer 86</t>
  </si>
  <si>
    <t>081947191221</t>
  </si>
  <si>
    <t>ORD0087</t>
  </si>
  <si>
    <t>Customer 87</t>
  </si>
  <si>
    <t>089481658289</t>
  </si>
  <si>
    <t>2025-02-16</t>
  </si>
  <si>
    <t>ORD0088</t>
  </si>
  <si>
    <t>Customer 88</t>
  </si>
  <si>
    <t>082139699809</t>
  </si>
  <si>
    <t>2025-06-23</t>
  </si>
  <si>
    <t>ORD0089</t>
  </si>
  <si>
    <t>Customer 89</t>
  </si>
  <si>
    <t>083046301608</t>
  </si>
  <si>
    <t>2025-02-01</t>
  </si>
  <si>
    <t>ORD0090</t>
  </si>
  <si>
    <t>Customer 90</t>
  </si>
  <si>
    <t>086678856076</t>
  </si>
  <si>
    <t>2025-12-06</t>
  </si>
  <si>
    <t>ORD0091</t>
  </si>
  <si>
    <t>Customer 91</t>
  </si>
  <si>
    <t>084347696257</t>
  </si>
  <si>
    <t>2025-12-03</t>
  </si>
  <si>
    <t>ORD0092</t>
  </si>
  <si>
    <t>Customer 92</t>
  </si>
  <si>
    <t>087878020455</t>
  </si>
  <si>
    <t>2025-06-03</t>
  </si>
  <si>
    <t>ORD0093</t>
  </si>
  <si>
    <t>Customer 93</t>
  </si>
  <si>
    <t>086207329957</t>
  </si>
  <si>
    <t>2025-08-19</t>
  </si>
  <si>
    <t>ORD0094</t>
  </si>
  <si>
    <t>Customer 94</t>
  </si>
  <si>
    <t>082814360683</t>
  </si>
  <si>
    <t>2025-05-27</t>
  </si>
  <si>
    <t>ORD0095</t>
  </si>
  <si>
    <t>Customer 95</t>
  </si>
  <si>
    <t>087707461762</t>
  </si>
  <si>
    <t>2025-09-28</t>
  </si>
  <si>
    <t>ORD0096</t>
  </si>
  <si>
    <t>Customer 96</t>
  </si>
  <si>
    <t>083143314242</t>
  </si>
  <si>
    <t>ORD0097</t>
  </si>
  <si>
    <t>Customer 97</t>
  </si>
  <si>
    <t>086172367089</t>
  </si>
  <si>
    <t>2025-06-12</t>
  </si>
  <si>
    <t>ORD0098</t>
  </si>
  <si>
    <t>Customer 98</t>
  </si>
  <si>
    <t>089623581865</t>
  </si>
  <si>
    <t>2025-04-10</t>
  </si>
  <si>
    <t>ORD0099</t>
  </si>
  <si>
    <t>Customer 99</t>
  </si>
  <si>
    <t>082127046635</t>
  </si>
  <si>
    <t>2025-02-07</t>
  </si>
  <si>
    <t>ORD0100</t>
  </si>
  <si>
    <t>Customer 100</t>
  </si>
  <si>
    <t>086167582264</t>
  </si>
  <si>
    <t>ORD0101</t>
  </si>
  <si>
    <t>Customer 101</t>
  </si>
  <si>
    <t>083077116042</t>
  </si>
  <si>
    <t>2025-01-16</t>
  </si>
  <si>
    <t>ORD0102</t>
  </si>
  <si>
    <t>Customer 102</t>
  </si>
  <si>
    <t>084051632105</t>
  </si>
  <si>
    <t>2025-04-01</t>
  </si>
  <si>
    <t>ORD0103</t>
  </si>
  <si>
    <t>Customer 103</t>
  </si>
  <si>
    <t>082036437291</t>
  </si>
  <si>
    <t>ORD0104</t>
  </si>
  <si>
    <t>Customer 104</t>
  </si>
  <si>
    <t>089674317750</t>
  </si>
  <si>
    <t>2025-11-24</t>
  </si>
  <si>
    <t>ORD0105</t>
  </si>
  <si>
    <t>Customer 105</t>
  </si>
  <si>
    <t>082553436904</t>
  </si>
  <si>
    <t>2025-11-23</t>
  </si>
  <si>
    <t>ORD0106</t>
  </si>
  <si>
    <t>Customer 106</t>
  </si>
  <si>
    <t>088730684195</t>
  </si>
  <si>
    <t>2025-04-14</t>
  </si>
  <si>
    <t>ORD0107</t>
  </si>
  <si>
    <t>Customer 107</t>
  </si>
  <si>
    <t>088518424944</t>
  </si>
  <si>
    <t>ORD0108</t>
  </si>
  <si>
    <t>Customer 108</t>
  </si>
  <si>
    <t>089097633866</t>
  </si>
  <si>
    <t>2025-08-05</t>
  </si>
  <si>
    <t>ORD0109</t>
  </si>
  <si>
    <t>Customer 109</t>
  </si>
  <si>
    <t>086422436769</t>
  </si>
  <si>
    <t>ORD0110</t>
  </si>
  <si>
    <t>Customer 110</t>
  </si>
  <si>
    <t>083961755045</t>
  </si>
  <si>
    <t>ORD0111</t>
  </si>
  <si>
    <t>Customer 111</t>
  </si>
  <si>
    <t>083802261849</t>
  </si>
  <si>
    <t>2025-10-27</t>
  </si>
  <si>
    <t>ORD0112</t>
  </si>
  <si>
    <t>Customer 112</t>
  </si>
  <si>
    <t>081447028562</t>
  </si>
  <si>
    <t>2025-06-17</t>
  </si>
  <si>
    <t>ORD0113</t>
  </si>
  <si>
    <t>Customer 113</t>
  </si>
  <si>
    <t>087175250918</t>
  </si>
  <si>
    <t>2025-12-08</t>
  </si>
  <si>
    <t>ORD0114</t>
  </si>
  <si>
    <t>Customer 114</t>
  </si>
  <si>
    <t>089849461086</t>
  </si>
  <si>
    <t>ORD0115</t>
  </si>
  <si>
    <t>Customer 115</t>
  </si>
  <si>
    <t>081850205147</t>
  </si>
  <si>
    <t>2025-07-13</t>
  </si>
  <si>
    <t>ORD0116</t>
  </si>
  <si>
    <t>Customer 116</t>
  </si>
  <si>
    <t>088208224714</t>
  </si>
  <si>
    <t>2025-01-28</t>
  </si>
  <si>
    <t>ORD0117</t>
  </si>
  <si>
    <t>Customer 117</t>
  </si>
  <si>
    <t>089510372457</t>
  </si>
  <si>
    <t>2025-04-24</t>
  </si>
  <si>
    <t>ORD0118</t>
  </si>
  <si>
    <t>Customer 118</t>
  </si>
  <si>
    <t>085727371110</t>
  </si>
  <si>
    <t>ORD0119</t>
  </si>
  <si>
    <t>Customer 119</t>
  </si>
  <si>
    <t>083388979739</t>
  </si>
  <si>
    <t>2025-11-01</t>
  </si>
  <si>
    <t>ORD0120</t>
  </si>
  <si>
    <t>Customer 120</t>
  </si>
  <si>
    <t>088253484886</t>
  </si>
  <si>
    <t>2025-01-14</t>
  </si>
  <si>
    <t>ORD0121</t>
  </si>
  <si>
    <t>Customer 121</t>
  </si>
  <si>
    <t>084669398253</t>
  </si>
  <si>
    <t>ORD0122</t>
  </si>
  <si>
    <t>Customer 122</t>
  </si>
  <si>
    <t>086506914907</t>
  </si>
  <si>
    <t>2025-08-01</t>
  </si>
  <si>
    <t>ORD0123</t>
  </si>
  <si>
    <t>Customer 123</t>
  </si>
  <si>
    <t>088524462305</t>
  </si>
  <si>
    <t>2025-11-20</t>
  </si>
  <si>
    <t>ORD0124</t>
  </si>
  <si>
    <t>Customer 124</t>
  </si>
  <si>
    <t>085230250748</t>
  </si>
  <si>
    <t>2025-11-03</t>
  </si>
  <si>
    <t>ORD0125</t>
  </si>
  <si>
    <t>Customer 125</t>
  </si>
  <si>
    <t>084762616233</t>
  </si>
  <si>
    <t>2025-05-26</t>
  </si>
  <si>
    <t>ORD0126</t>
  </si>
  <si>
    <t>Customer 126</t>
  </si>
  <si>
    <t>082563107213</t>
  </si>
  <si>
    <t>ORD0127</t>
  </si>
  <si>
    <t>Customer 127</t>
  </si>
  <si>
    <t>082165370556</t>
  </si>
  <si>
    <t>2025-06-14</t>
  </si>
  <si>
    <t>ORD0128</t>
  </si>
  <si>
    <t>Customer 128</t>
  </si>
  <si>
    <t>084703424767</t>
  </si>
  <si>
    <t>2025-07-28</t>
  </si>
  <si>
    <t>ORD0129</t>
  </si>
  <si>
    <t>Customer 129</t>
  </si>
  <si>
    <t>089092719044</t>
  </si>
  <si>
    <t>2025-12-18</t>
  </si>
  <si>
    <t>ORD0130</t>
  </si>
  <si>
    <t>Customer 130</t>
  </si>
  <si>
    <t>085497816546</t>
  </si>
  <si>
    <t>2025-03-28</t>
  </si>
  <si>
    <t>ORD0131</t>
  </si>
  <si>
    <t>Customer 131</t>
  </si>
  <si>
    <t>087505776246</t>
  </si>
  <si>
    <t>ORD0132</t>
  </si>
  <si>
    <t>Customer 132</t>
  </si>
  <si>
    <t>088096559366</t>
  </si>
  <si>
    <t>ORD0133</t>
  </si>
  <si>
    <t>Customer 133</t>
  </si>
  <si>
    <t>089937410504</t>
  </si>
  <si>
    <t>2025-07-16</t>
  </si>
  <si>
    <t>ORD0134</t>
  </si>
  <si>
    <t>Customer 134</t>
  </si>
  <si>
    <t>087513175451</t>
  </si>
  <si>
    <t>2025-01-26</t>
  </si>
  <si>
    <t>ORD0135</t>
  </si>
  <si>
    <t>Customer 135</t>
  </si>
  <si>
    <t>089307614846</t>
  </si>
  <si>
    <t>ORD0136</t>
  </si>
  <si>
    <t>Customer 136</t>
  </si>
  <si>
    <t>084170051324</t>
  </si>
  <si>
    <t>2025-01-21</t>
  </si>
  <si>
    <t>ORD0137</t>
  </si>
  <si>
    <t>Customer 137</t>
  </si>
  <si>
    <t>088766113031</t>
  </si>
  <si>
    <t>ORD0138</t>
  </si>
  <si>
    <t>Customer 138</t>
  </si>
  <si>
    <t>081454613082</t>
  </si>
  <si>
    <t>2025-03-05</t>
  </si>
  <si>
    <t>ORD0139</t>
  </si>
  <si>
    <t>Customer 139</t>
  </si>
  <si>
    <t>084149593460</t>
  </si>
  <si>
    <t>2025-09-11</t>
  </si>
  <si>
    <t>ORD0140</t>
  </si>
  <si>
    <t>Customer 140</t>
  </si>
  <si>
    <t>085072909456</t>
  </si>
  <si>
    <t>ORD0141</t>
  </si>
  <si>
    <t>Customer 141</t>
  </si>
  <si>
    <t>086854220814</t>
  </si>
  <si>
    <t>2025-05-11</t>
  </si>
  <si>
    <t>ORD0142</t>
  </si>
  <si>
    <t>Customer 142</t>
  </si>
  <si>
    <t>083343030848</t>
  </si>
  <si>
    <t>ORD0143</t>
  </si>
  <si>
    <t>Customer 143</t>
  </si>
  <si>
    <t>089143678438</t>
  </si>
  <si>
    <t>ORD0144</t>
  </si>
  <si>
    <t>Customer 144</t>
  </si>
  <si>
    <t>084772855871</t>
  </si>
  <si>
    <t>2025-08-09</t>
  </si>
  <si>
    <t>ORD0145</t>
  </si>
  <si>
    <t>Customer 145</t>
  </si>
  <si>
    <t>082019630132</t>
  </si>
  <si>
    <t>ORD0146</t>
  </si>
  <si>
    <t>Customer 146</t>
  </si>
  <si>
    <t>081721121103</t>
  </si>
  <si>
    <t>2025-01-30</t>
  </si>
  <si>
    <t>ORD0147</t>
  </si>
  <si>
    <t>Customer 147</t>
  </si>
  <si>
    <t>084457342217</t>
  </si>
  <si>
    <t>2025-07-18</t>
  </si>
  <si>
    <t>ORD0148</t>
  </si>
  <si>
    <t>Customer 148</t>
  </si>
  <si>
    <t>089925053492</t>
  </si>
  <si>
    <t>2025-08-07</t>
  </si>
  <si>
    <t>ORD0149</t>
  </si>
  <si>
    <t>Customer 149</t>
  </si>
  <si>
    <t>089227144893</t>
  </si>
  <si>
    <t>ORD0150</t>
  </si>
  <si>
    <t>Customer 150</t>
  </si>
  <si>
    <t>087456299740</t>
  </si>
  <si>
    <t>2025-06-19</t>
  </si>
  <si>
    <t>ORD0151</t>
  </si>
  <si>
    <t>Customer 151</t>
  </si>
  <si>
    <t>089736705201</t>
  </si>
  <si>
    <t>2025-09-02</t>
  </si>
  <si>
    <t>ORD0152</t>
  </si>
  <si>
    <t>Customer 152</t>
  </si>
  <si>
    <t>084897325422</t>
  </si>
  <si>
    <t>ORD0153</t>
  </si>
  <si>
    <t>Customer 153</t>
  </si>
  <si>
    <t>081409379324</t>
  </si>
  <si>
    <t>2025-03-23</t>
  </si>
  <si>
    <t>ORD0154</t>
  </si>
  <si>
    <t>Customer 154</t>
  </si>
  <si>
    <t>084178511639</t>
  </si>
  <si>
    <t>2025-12-12</t>
  </si>
  <si>
    <t>ORD0155</t>
  </si>
  <si>
    <t>Customer 155</t>
  </si>
  <si>
    <t>089322095928</t>
  </si>
  <si>
    <t>2025-09-05</t>
  </si>
  <si>
    <t>ORD0156</t>
  </si>
  <si>
    <t>Customer 156</t>
  </si>
  <si>
    <t>083508402439</t>
  </si>
  <si>
    <t>ORD0157</t>
  </si>
  <si>
    <t>Customer 157</t>
  </si>
  <si>
    <t>082809301965</t>
  </si>
  <si>
    <t>2025-12-20</t>
  </si>
  <si>
    <t>ORD0158</t>
  </si>
  <si>
    <t>Customer 158</t>
  </si>
  <si>
    <t>089139213458</t>
  </si>
  <si>
    <t>2025-11-28</t>
  </si>
  <si>
    <t>ORD0159</t>
  </si>
  <si>
    <t>Customer 159</t>
  </si>
  <si>
    <t>084447715529</t>
  </si>
  <si>
    <t>2025-11-04</t>
  </si>
  <si>
    <t>ORD0160</t>
  </si>
  <si>
    <t>Customer 160</t>
  </si>
  <si>
    <t>087248332218</t>
  </si>
  <si>
    <t>ORD0161</t>
  </si>
  <si>
    <t>Customer 161</t>
  </si>
  <si>
    <t>088306578783</t>
  </si>
  <si>
    <t>ORD0162</t>
  </si>
  <si>
    <t>Customer 162</t>
  </si>
  <si>
    <t>086374342857</t>
  </si>
  <si>
    <t>2025-02-27</t>
  </si>
  <si>
    <t>ORD0163</t>
  </si>
  <si>
    <t>Customer 163</t>
  </si>
  <si>
    <t>081083088857</t>
  </si>
  <si>
    <t>ORD0164</t>
  </si>
  <si>
    <t>Customer 164</t>
  </si>
  <si>
    <t>087209653741</t>
  </si>
  <si>
    <t>ORD0165</t>
  </si>
  <si>
    <t>Customer 165</t>
  </si>
  <si>
    <t>085061082525</t>
  </si>
  <si>
    <t>ORD0166</t>
  </si>
  <si>
    <t>Customer 166</t>
  </si>
  <si>
    <t>083267022919</t>
  </si>
  <si>
    <t>2025-12-04</t>
  </si>
  <si>
    <t>ORD0167</t>
  </si>
  <si>
    <t>Customer 167</t>
  </si>
  <si>
    <t>088436524523</t>
  </si>
  <si>
    <t>ORD0168</t>
  </si>
  <si>
    <t>Customer 168</t>
  </si>
  <si>
    <t>087875323001</t>
  </si>
  <si>
    <t>ORD0169</t>
  </si>
  <si>
    <t>Customer 169</t>
  </si>
  <si>
    <t>089874055644</t>
  </si>
  <si>
    <t>ORD0170</t>
  </si>
  <si>
    <t>Customer 170</t>
  </si>
  <si>
    <t>081904134087</t>
  </si>
  <si>
    <t>2025-05-31</t>
  </si>
  <si>
    <t>ORD0171</t>
  </si>
  <si>
    <t>Customer 171</t>
  </si>
  <si>
    <t>085465939093</t>
  </si>
  <si>
    <t>2025-11-05</t>
  </si>
  <si>
    <t>ORD0172</t>
  </si>
  <si>
    <t>Customer 172</t>
  </si>
  <si>
    <t>086743170002</t>
  </si>
  <si>
    <t>2025-03-04</t>
  </si>
  <si>
    <t>ORD0173</t>
  </si>
  <si>
    <t>Customer 173</t>
  </si>
  <si>
    <t>084888965921</t>
  </si>
  <si>
    <t>2025-04-15</t>
  </si>
  <si>
    <t>ORD0174</t>
  </si>
  <si>
    <t>Customer 174</t>
  </si>
  <si>
    <t>082790447117</t>
  </si>
  <si>
    <t>2025-10-16</t>
  </si>
  <si>
    <t>ORD0175</t>
  </si>
  <si>
    <t>Customer 175</t>
  </si>
  <si>
    <t>087694870838</t>
  </si>
  <si>
    <t>2025-12-30</t>
  </si>
  <si>
    <t>ORD0176</t>
  </si>
  <si>
    <t>Customer 176</t>
  </si>
  <si>
    <t>084694908620</t>
  </si>
  <si>
    <t>2025-10-01</t>
  </si>
  <si>
    <t>ORD0177</t>
  </si>
  <si>
    <t>Customer 177</t>
  </si>
  <si>
    <t>088165178949</t>
  </si>
  <si>
    <t>2025-05-13</t>
  </si>
  <si>
    <t>ORD0178</t>
  </si>
  <si>
    <t>Customer 178</t>
  </si>
  <si>
    <t>084316655359</t>
  </si>
  <si>
    <t>2025-07-22</t>
  </si>
  <si>
    <t>ORD0179</t>
  </si>
  <si>
    <t>Customer 179</t>
  </si>
  <si>
    <t>089599157745</t>
  </si>
  <si>
    <t>2025-09-23</t>
  </si>
  <si>
    <t>ORD0180</t>
  </si>
  <si>
    <t>Customer 180</t>
  </si>
  <si>
    <t>081286560721</t>
  </si>
  <si>
    <t>2025-12-16</t>
  </si>
  <si>
    <t>ORD0181</t>
  </si>
  <si>
    <t>Customer 181</t>
  </si>
  <si>
    <t>086471169703</t>
  </si>
  <si>
    <t>2025-04-27</t>
  </si>
  <si>
    <t>ORD0182</t>
  </si>
  <si>
    <t>Customer 182</t>
  </si>
  <si>
    <t>081866633130</t>
  </si>
  <si>
    <t>2025-10-08</t>
  </si>
  <si>
    <t>ORD0183</t>
  </si>
  <si>
    <t>Customer 183</t>
  </si>
  <si>
    <t>085233824847</t>
  </si>
  <si>
    <t>2025-01-10</t>
  </si>
  <si>
    <t>ORD0184</t>
  </si>
  <si>
    <t>Customer 184</t>
  </si>
  <si>
    <t>087797407434</t>
  </si>
  <si>
    <t>ORD0185</t>
  </si>
  <si>
    <t>Customer 185</t>
  </si>
  <si>
    <t>081066721402</t>
  </si>
  <si>
    <t>2025-07-06</t>
  </si>
  <si>
    <t>ORD0186</t>
  </si>
  <si>
    <t>Customer 186</t>
  </si>
  <si>
    <t>082709124353</t>
  </si>
  <si>
    <t>ORD0187</t>
  </si>
  <si>
    <t>Customer 187</t>
  </si>
  <si>
    <t>082264136315</t>
  </si>
  <si>
    <t>ORD0188</t>
  </si>
  <si>
    <t>Customer 188</t>
  </si>
  <si>
    <t>089734979957</t>
  </si>
  <si>
    <t>2025-01-04</t>
  </si>
  <si>
    <t>ORD0189</t>
  </si>
  <si>
    <t>Customer 189</t>
  </si>
  <si>
    <t>085964472736</t>
  </si>
  <si>
    <t>ORD0190</t>
  </si>
  <si>
    <t>Customer 190</t>
  </si>
  <si>
    <t>086849275493</t>
  </si>
  <si>
    <t>ORD0191</t>
  </si>
  <si>
    <t>Customer 191</t>
  </si>
  <si>
    <t>086621784230</t>
  </si>
  <si>
    <t>ORD0192</t>
  </si>
  <si>
    <t>Customer 192</t>
  </si>
  <si>
    <t>083662542025</t>
  </si>
  <si>
    <t>2025-02-22</t>
  </si>
  <si>
    <t>ORD0193</t>
  </si>
  <si>
    <t>Customer 193</t>
  </si>
  <si>
    <t>087956189566</t>
  </si>
  <si>
    <t>2025-08-16</t>
  </si>
  <si>
    <t>ORD0194</t>
  </si>
  <si>
    <t>Customer 194</t>
  </si>
  <si>
    <t>087576659994</t>
  </si>
  <si>
    <t>2025-03-26</t>
  </si>
  <si>
    <t>ORD0195</t>
  </si>
  <si>
    <t>Customer 195</t>
  </si>
  <si>
    <t>087354938669</t>
  </si>
  <si>
    <t>ORD0196</t>
  </si>
  <si>
    <t>Customer 196</t>
  </si>
  <si>
    <t>083462590267</t>
  </si>
  <si>
    <t>2025-06-04</t>
  </si>
  <si>
    <t>ORD0197</t>
  </si>
  <si>
    <t>Customer 197</t>
  </si>
  <si>
    <t>087021105971</t>
  </si>
  <si>
    <t>ORD0198</t>
  </si>
  <si>
    <t>Customer 198</t>
  </si>
  <si>
    <t>087366552406</t>
  </si>
  <si>
    <t>2025-05-02</t>
  </si>
  <si>
    <t>ORD0199</t>
  </si>
  <si>
    <t>Customer 199</t>
  </si>
  <si>
    <t>086682771545</t>
  </si>
  <si>
    <t>ORD0200</t>
  </si>
  <si>
    <t>Customer 200</t>
  </si>
  <si>
    <t>083035337862</t>
  </si>
  <si>
    <t>ORD0201</t>
  </si>
  <si>
    <t>Customer 201</t>
  </si>
  <si>
    <t>089199493540</t>
  </si>
  <si>
    <t>2025-06-01</t>
  </si>
  <si>
    <t>ORD0202</t>
  </si>
  <si>
    <t>Customer 202</t>
  </si>
  <si>
    <t>085739348744</t>
  </si>
  <si>
    <t>ORD0203</t>
  </si>
  <si>
    <t>Customer 203</t>
  </si>
  <si>
    <t>081514443749</t>
  </si>
  <si>
    <t>2025-03-25</t>
  </si>
  <si>
    <t>ORD0204</t>
  </si>
  <si>
    <t>Customer 204</t>
  </si>
  <si>
    <t>086932101896</t>
  </si>
  <si>
    <t>2025-08-23</t>
  </si>
  <si>
    <t>ORD0205</t>
  </si>
  <si>
    <t>Customer 205</t>
  </si>
  <si>
    <t>087027667533</t>
  </si>
  <si>
    <t>2025-01-19</t>
  </si>
  <si>
    <t>ORD0206</t>
  </si>
  <si>
    <t>Customer 206</t>
  </si>
  <si>
    <t>087592542045</t>
  </si>
  <si>
    <t>ORD0207</t>
  </si>
  <si>
    <t>Customer 207</t>
  </si>
  <si>
    <t>088307777716</t>
  </si>
  <si>
    <t>2025-09-04</t>
  </si>
  <si>
    <t>ORD0208</t>
  </si>
  <si>
    <t>Customer 208</t>
  </si>
  <si>
    <t>085239882992</t>
  </si>
  <si>
    <t>2025-09-21</t>
  </si>
  <si>
    <t>ORD0209</t>
  </si>
  <si>
    <t>Customer 209</t>
  </si>
  <si>
    <t>082425942212</t>
  </si>
  <si>
    <t>ORD0210</t>
  </si>
  <si>
    <t>Customer 210</t>
  </si>
  <si>
    <t>085259613597</t>
  </si>
  <si>
    <t>ORD0211</t>
  </si>
  <si>
    <t>Customer 211</t>
  </si>
  <si>
    <t>082481381339</t>
  </si>
  <si>
    <t>2025-05-12</t>
  </si>
  <si>
    <t>ORD0212</t>
  </si>
  <si>
    <t>Customer 212</t>
  </si>
  <si>
    <t>081162093617</t>
  </si>
  <si>
    <t>ORD0213</t>
  </si>
  <si>
    <t>Customer 213</t>
  </si>
  <si>
    <t>081388852124</t>
  </si>
  <si>
    <t>ORD0214</t>
  </si>
  <si>
    <t>Customer 214</t>
  </si>
  <si>
    <t>082952588052</t>
  </si>
  <si>
    <t>2025-04-17</t>
  </si>
  <si>
    <t>ORD0215</t>
  </si>
  <si>
    <t>Customer 215</t>
  </si>
  <si>
    <t>084643475537</t>
  </si>
  <si>
    <t>ORD0216</t>
  </si>
  <si>
    <t>Customer 216</t>
  </si>
  <si>
    <t>086306958658</t>
  </si>
  <si>
    <t>ORD0217</t>
  </si>
  <si>
    <t>Customer 217</t>
  </si>
  <si>
    <t>088446696297</t>
  </si>
  <si>
    <t>2025-03-18</t>
  </si>
  <si>
    <t>ORD0218</t>
  </si>
  <si>
    <t>Customer 218</t>
  </si>
  <si>
    <t>083208930114</t>
  </si>
  <si>
    <t>2025-11-07</t>
  </si>
  <si>
    <t>ORD0219</t>
  </si>
  <si>
    <t>Customer 219</t>
  </si>
  <si>
    <t>083286389575</t>
  </si>
  <si>
    <t>ORD0220</t>
  </si>
  <si>
    <t>Customer 220</t>
  </si>
  <si>
    <t>081884572852</t>
  </si>
  <si>
    <t>2025-12-21</t>
  </si>
  <si>
    <t>ORD0221</t>
  </si>
  <si>
    <t>Customer 221</t>
  </si>
  <si>
    <t>083247130865</t>
  </si>
  <si>
    <t>2025-08-12</t>
  </si>
  <si>
    <t>ORD0222</t>
  </si>
  <si>
    <t>Customer 222</t>
  </si>
  <si>
    <t>087556066100</t>
  </si>
  <si>
    <t>ORD0223</t>
  </si>
  <si>
    <t>Customer 223</t>
  </si>
  <si>
    <t>082425614407</t>
  </si>
  <si>
    <t>ORD0224</t>
  </si>
  <si>
    <t>Customer 224</t>
  </si>
  <si>
    <t>085853426135</t>
  </si>
  <si>
    <t>2025-07-20</t>
  </si>
  <si>
    <t>ORD0225</t>
  </si>
  <si>
    <t>Customer 225</t>
  </si>
  <si>
    <t>087640292746</t>
  </si>
  <si>
    <t>ORD0226</t>
  </si>
  <si>
    <t>Customer 226</t>
  </si>
  <si>
    <t>082377482595</t>
  </si>
  <si>
    <t>2025-03-16</t>
  </si>
  <si>
    <t>ORD0227</t>
  </si>
  <si>
    <t>Customer 227</t>
  </si>
  <si>
    <t>081526990765</t>
  </si>
  <si>
    <t>ORD0228</t>
  </si>
  <si>
    <t>Customer 228</t>
  </si>
  <si>
    <t>083502741586</t>
  </si>
  <si>
    <t>ORD0229</t>
  </si>
  <si>
    <t>Customer 229</t>
  </si>
  <si>
    <t>087264965279</t>
  </si>
  <si>
    <t>2025-05-29</t>
  </si>
  <si>
    <t>ORD0230</t>
  </si>
  <si>
    <t>Customer 230</t>
  </si>
  <si>
    <t>089241116156</t>
  </si>
  <si>
    <t>ORD0231</t>
  </si>
  <si>
    <t>Customer 231</t>
  </si>
  <si>
    <t>086067561938</t>
  </si>
  <si>
    <t>ORD0232</t>
  </si>
  <si>
    <t>Customer 232</t>
  </si>
  <si>
    <t>081216671016</t>
  </si>
  <si>
    <t>2025-08-30</t>
  </si>
  <si>
    <t>ORD0233</t>
  </si>
  <si>
    <t>Customer 233</t>
  </si>
  <si>
    <t>082304455877</t>
  </si>
  <si>
    <t>2025-09-08</t>
  </si>
  <si>
    <t>ORD0234</t>
  </si>
  <si>
    <t>Customer 234</t>
  </si>
  <si>
    <t>086545206827</t>
  </si>
  <si>
    <t>ORD0235</t>
  </si>
  <si>
    <t>Customer 235</t>
  </si>
  <si>
    <t>084132359257</t>
  </si>
  <si>
    <t>2025-07-14</t>
  </si>
  <si>
    <t>ORD0236</t>
  </si>
  <si>
    <t>Customer 236</t>
  </si>
  <si>
    <t>084905356189</t>
  </si>
  <si>
    <t>2025-09-13</t>
  </si>
  <si>
    <t>ORD0237</t>
  </si>
  <si>
    <t>Customer 237</t>
  </si>
  <si>
    <t>089441835523</t>
  </si>
  <si>
    <t>2025-03-20</t>
  </si>
  <si>
    <t>ORD0238</t>
  </si>
  <si>
    <t>Customer 238</t>
  </si>
  <si>
    <t>084178333430</t>
  </si>
  <si>
    <t>ORD0239</t>
  </si>
  <si>
    <t>Customer 239</t>
  </si>
  <si>
    <t>081973264575</t>
  </si>
  <si>
    <t>ORD0240</t>
  </si>
  <si>
    <t>Customer 240</t>
  </si>
  <si>
    <t>085134703560</t>
  </si>
  <si>
    <t>ORD0241</t>
  </si>
  <si>
    <t>Customer 241</t>
  </si>
  <si>
    <t>082226992412</t>
  </si>
  <si>
    <t>ORD0242</t>
  </si>
  <si>
    <t>Customer 242</t>
  </si>
  <si>
    <t>084541108663</t>
  </si>
  <si>
    <t>2025-05-25</t>
  </si>
  <si>
    <t>ORD0243</t>
  </si>
  <si>
    <t>Customer 243</t>
  </si>
  <si>
    <t>082428181942</t>
  </si>
  <si>
    <t>2025-09-03</t>
  </si>
  <si>
    <t>ORD0244</t>
  </si>
  <si>
    <t>Customer 244</t>
  </si>
  <si>
    <t>086334748976</t>
  </si>
  <si>
    <t>2025-09-26</t>
  </si>
  <si>
    <t>ORD0245</t>
  </si>
  <si>
    <t>Customer 245</t>
  </si>
  <si>
    <t>088921025167</t>
  </si>
  <si>
    <t>ORD0246</t>
  </si>
  <si>
    <t>Customer 246</t>
  </si>
  <si>
    <t>088268762513</t>
  </si>
  <si>
    <t>2025-08-15</t>
  </si>
  <si>
    <t>ORD0247</t>
  </si>
  <si>
    <t>Customer 247</t>
  </si>
  <si>
    <t>083596677675</t>
  </si>
  <si>
    <t>ORD0248</t>
  </si>
  <si>
    <t>Customer 248</t>
  </si>
  <si>
    <t>087245719987</t>
  </si>
  <si>
    <t>ORD0249</t>
  </si>
  <si>
    <t>Customer 249</t>
  </si>
  <si>
    <t>086917652223</t>
  </si>
  <si>
    <t>2025-09-07</t>
  </si>
  <si>
    <t>ORD0250</t>
  </si>
  <si>
    <t>Customer 250</t>
  </si>
  <si>
    <t>082355189796</t>
  </si>
  <si>
    <t>ORD0251</t>
  </si>
  <si>
    <t>Customer 251</t>
  </si>
  <si>
    <t>083576476357</t>
  </si>
  <si>
    <t>ORD0252</t>
  </si>
  <si>
    <t>Customer 252</t>
  </si>
  <si>
    <t>084689626674</t>
  </si>
  <si>
    <t>2025-01-02</t>
  </si>
  <si>
    <t>ORD0253</t>
  </si>
  <si>
    <t>Customer 253</t>
  </si>
  <si>
    <t>086246713176</t>
  </si>
  <si>
    <t>2025-06-24</t>
  </si>
  <si>
    <t>ORD0254</t>
  </si>
  <si>
    <t>Customer 254</t>
  </si>
  <si>
    <t>086719180425</t>
  </si>
  <si>
    <t>2025-12-27</t>
  </si>
  <si>
    <t>ORD0255</t>
  </si>
  <si>
    <t>Customer 255</t>
  </si>
  <si>
    <t>086680669061</t>
  </si>
  <si>
    <t>ORD0256</t>
  </si>
  <si>
    <t>Customer 256</t>
  </si>
  <si>
    <t>089710825162</t>
  </si>
  <si>
    <t>ORD0257</t>
  </si>
  <si>
    <t>Customer 257</t>
  </si>
  <si>
    <t>082438761015</t>
  </si>
  <si>
    <t>ORD0258</t>
  </si>
  <si>
    <t>Customer 258</t>
  </si>
  <si>
    <t>084983333852</t>
  </si>
  <si>
    <t>2025-01-22</t>
  </si>
  <si>
    <t>ORD0259</t>
  </si>
  <si>
    <t>Customer 259</t>
  </si>
  <si>
    <t>083159681983</t>
  </si>
  <si>
    <t>2025-06-16</t>
  </si>
  <si>
    <t>ORD0260</t>
  </si>
  <si>
    <t>Customer 260</t>
  </si>
  <si>
    <t>084224446830</t>
  </si>
  <si>
    <t>ORD0261</t>
  </si>
  <si>
    <t>Customer 261</t>
  </si>
  <si>
    <t>081996679749</t>
  </si>
  <si>
    <t>ORD0262</t>
  </si>
  <si>
    <t>Customer 262</t>
  </si>
  <si>
    <t>088889630187</t>
  </si>
  <si>
    <t>2025-12-17</t>
  </si>
  <si>
    <t>ORD0263</t>
  </si>
  <si>
    <t>Customer 263</t>
  </si>
  <si>
    <t>081559722907</t>
  </si>
  <si>
    <t>2025-12-19</t>
  </si>
  <si>
    <t>ORD0264</t>
  </si>
  <si>
    <t>Customer 264</t>
  </si>
  <si>
    <t>087620049983</t>
  </si>
  <si>
    <t>2025-05-16</t>
  </si>
  <si>
    <t>ORD0265</t>
  </si>
  <si>
    <t>Customer 265</t>
  </si>
  <si>
    <t>089293211270</t>
  </si>
  <si>
    <t>2025-07-12</t>
  </si>
  <si>
    <t>ORD0266</t>
  </si>
  <si>
    <t>Customer 266</t>
  </si>
  <si>
    <t>089995038844</t>
  </si>
  <si>
    <t>2025-08-13</t>
  </si>
  <si>
    <t>ORD0267</t>
  </si>
  <si>
    <t>Customer 267</t>
  </si>
  <si>
    <t>084033569575</t>
  </si>
  <si>
    <t>ORD0268</t>
  </si>
  <si>
    <t>Customer 268</t>
  </si>
  <si>
    <t>087481681831</t>
  </si>
  <si>
    <t>ORD0269</t>
  </si>
  <si>
    <t>Customer 269</t>
  </si>
  <si>
    <t>089368964605</t>
  </si>
  <si>
    <t>ORD0270</t>
  </si>
  <si>
    <t>Customer 270</t>
  </si>
  <si>
    <t>083449841016</t>
  </si>
  <si>
    <t>2025-09-27</t>
  </si>
  <si>
    <t>ORD0271</t>
  </si>
  <si>
    <t>Customer 271</t>
  </si>
  <si>
    <t>083800784289</t>
  </si>
  <si>
    <t>ORD0272</t>
  </si>
  <si>
    <t>Customer 272</t>
  </si>
  <si>
    <t>087077184946</t>
  </si>
  <si>
    <t>ORD0273</t>
  </si>
  <si>
    <t>Customer 273</t>
  </si>
  <si>
    <t>083198562642</t>
  </si>
  <si>
    <t>2025-06-25</t>
  </si>
  <si>
    <t>ORD0274</t>
  </si>
  <si>
    <t>Customer 274</t>
  </si>
  <si>
    <t>089054134620</t>
  </si>
  <si>
    <t>ORD0275</t>
  </si>
  <si>
    <t>Customer 275</t>
  </si>
  <si>
    <t>085937613913</t>
  </si>
  <si>
    <t>2025-06-20</t>
  </si>
  <si>
    <t>ORD0276</t>
  </si>
  <si>
    <t>Customer 276</t>
  </si>
  <si>
    <t>089602503233</t>
  </si>
  <si>
    <t>2025-03-15</t>
  </si>
  <si>
    <t>ORD0277</t>
  </si>
  <si>
    <t>Customer 277</t>
  </si>
  <si>
    <t>086675222498</t>
  </si>
  <si>
    <t>ORD0278</t>
  </si>
  <si>
    <t>Customer 278</t>
  </si>
  <si>
    <t>085890457123</t>
  </si>
  <si>
    <t>ORD0279</t>
  </si>
  <si>
    <t>Customer 279</t>
  </si>
  <si>
    <t>089951596842</t>
  </si>
  <si>
    <t>2025-10-19</t>
  </si>
  <si>
    <t>ORD0280</t>
  </si>
  <si>
    <t>Customer 280</t>
  </si>
  <si>
    <t>084379873561</t>
  </si>
  <si>
    <t>2025-08-31</t>
  </si>
  <si>
    <t>ORD0281</t>
  </si>
  <si>
    <t>Customer 281</t>
  </si>
  <si>
    <t>088713727646</t>
  </si>
  <si>
    <t>ORD0282</t>
  </si>
  <si>
    <t>Customer 282</t>
  </si>
  <si>
    <t>089263505792</t>
  </si>
  <si>
    <t>2025-10-12</t>
  </si>
  <si>
    <t>ORD0283</t>
  </si>
  <si>
    <t>Customer 283</t>
  </si>
  <si>
    <t>088931504219</t>
  </si>
  <si>
    <t>ORD0284</t>
  </si>
  <si>
    <t>Customer 284</t>
  </si>
  <si>
    <t>088123227439</t>
  </si>
  <si>
    <t>ORD0285</t>
  </si>
  <si>
    <t>Customer 285</t>
  </si>
  <si>
    <t>082118009540</t>
  </si>
  <si>
    <t>ORD0286</t>
  </si>
  <si>
    <t>Customer 286</t>
  </si>
  <si>
    <t>084805773863</t>
  </si>
  <si>
    <t>2025-11-19</t>
  </si>
  <si>
    <t>ORD0287</t>
  </si>
  <si>
    <t>Customer 287</t>
  </si>
  <si>
    <t>089951550673</t>
  </si>
  <si>
    <t>ORD0288</t>
  </si>
  <si>
    <t>Customer 288</t>
  </si>
  <si>
    <t>089650709394</t>
  </si>
  <si>
    <t>2025-06-02</t>
  </si>
  <si>
    <t>ORD0289</t>
  </si>
  <si>
    <t>Customer 289</t>
  </si>
  <si>
    <t>084416162155</t>
  </si>
  <si>
    <t>ORD0290</t>
  </si>
  <si>
    <t>Customer 290</t>
  </si>
  <si>
    <t>081394627588</t>
  </si>
  <si>
    <t>2025-12-02</t>
  </si>
  <si>
    <t>ORD0291</t>
  </si>
  <si>
    <t>Customer 291</t>
  </si>
  <si>
    <t>088674453814</t>
  </si>
  <si>
    <t>2025-05-22</t>
  </si>
  <si>
    <t>ORD0292</t>
  </si>
  <si>
    <t>Customer 292</t>
  </si>
  <si>
    <t>083327461366</t>
  </si>
  <si>
    <t>ORD0293</t>
  </si>
  <si>
    <t>Customer 293</t>
  </si>
  <si>
    <t>088682221772</t>
  </si>
  <si>
    <t>2025-07-29</t>
  </si>
  <si>
    <t>ORD0294</t>
  </si>
  <si>
    <t>Customer 294</t>
  </si>
  <si>
    <t>084172851849</t>
  </si>
  <si>
    <t>ORD0295</t>
  </si>
  <si>
    <t>Customer 295</t>
  </si>
  <si>
    <t>088306758374</t>
  </si>
  <si>
    <t>ORD0296</t>
  </si>
  <si>
    <t>Customer 296</t>
  </si>
  <si>
    <t>081597763243</t>
  </si>
  <si>
    <t>2025-11-27</t>
  </si>
  <si>
    <t>ORD0297</t>
  </si>
  <si>
    <t>Customer 297</t>
  </si>
  <si>
    <t>088883462340</t>
  </si>
  <si>
    <t>2025-07-24</t>
  </si>
  <si>
    <t>ORD0298</t>
  </si>
  <si>
    <t>Customer 298</t>
  </si>
  <si>
    <t>082255864934</t>
  </si>
  <si>
    <t>2025-05-04</t>
  </si>
  <si>
    <t>ORD0299</t>
  </si>
  <si>
    <t>Customer 299</t>
  </si>
  <si>
    <t>085385347986</t>
  </si>
  <si>
    <t>ORD0300</t>
  </si>
  <si>
    <t>Customer 300</t>
  </si>
  <si>
    <t>088490420636</t>
  </si>
  <si>
    <t>ORD0301</t>
  </si>
  <si>
    <t>Customer 301</t>
  </si>
  <si>
    <t>081106440304</t>
  </si>
  <si>
    <t>2025-10-17</t>
  </si>
  <si>
    <t>ORD0302</t>
  </si>
  <si>
    <t>Customer 302</t>
  </si>
  <si>
    <t>086096799842</t>
  </si>
  <si>
    <t>2025-11-11</t>
  </si>
  <si>
    <t>ORD0303</t>
  </si>
  <si>
    <t>Customer 303</t>
  </si>
  <si>
    <t>081747371019</t>
  </si>
  <si>
    <t>2025-10-31</t>
  </si>
  <si>
    <t>ORD0304</t>
  </si>
  <si>
    <t>Customer 304</t>
  </si>
  <si>
    <t>084672498255</t>
  </si>
  <si>
    <t>ORD0305</t>
  </si>
  <si>
    <t>Customer 305</t>
  </si>
  <si>
    <t>082960218914</t>
  </si>
  <si>
    <t>ORD0306</t>
  </si>
  <si>
    <t>Customer 306</t>
  </si>
  <si>
    <t>088821607774</t>
  </si>
  <si>
    <t>ORD0307</t>
  </si>
  <si>
    <t>Customer 307</t>
  </si>
  <si>
    <t>085043301270</t>
  </si>
  <si>
    <t>ORD0308</t>
  </si>
  <si>
    <t>Customer 308</t>
  </si>
  <si>
    <t>085560076625</t>
  </si>
  <si>
    <t>2025-03-30</t>
  </si>
  <si>
    <t>ORD0309</t>
  </si>
  <si>
    <t>Customer 309</t>
  </si>
  <si>
    <t>088471797403</t>
  </si>
  <si>
    <t>ORD0310</t>
  </si>
  <si>
    <t>Customer 310</t>
  </si>
  <si>
    <t>082094213179</t>
  </si>
  <si>
    <t>ORD0311</t>
  </si>
  <si>
    <t>Customer 311</t>
  </si>
  <si>
    <t>083201416782</t>
  </si>
  <si>
    <t>2025-01-08</t>
  </si>
  <si>
    <t>ORD0312</t>
  </si>
  <si>
    <t>Customer 312</t>
  </si>
  <si>
    <t>084962299540</t>
  </si>
  <si>
    <t>ORD0313</t>
  </si>
  <si>
    <t>Customer 313</t>
  </si>
  <si>
    <t>081608462796</t>
  </si>
  <si>
    <t>2025-01-20</t>
  </si>
  <si>
    <t>ORD0314</t>
  </si>
  <si>
    <t>Customer 314</t>
  </si>
  <si>
    <t>089084416282</t>
  </si>
  <si>
    <t>ORD0315</t>
  </si>
  <si>
    <t>Customer 315</t>
  </si>
  <si>
    <t>087166038265</t>
  </si>
  <si>
    <t>ORD0316</t>
  </si>
  <si>
    <t>Customer 316</t>
  </si>
  <si>
    <t>082089751457</t>
  </si>
  <si>
    <t>ORD0317</t>
  </si>
  <si>
    <t>Customer 317</t>
  </si>
  <si>
    <t>081899729601</t>
  </si>
  <si>
    <t>2025-07-19</t>
  </si>
  <si>
    <t>ORD0318</t>
  </si>
  <si>
    <t>Customer 318</t>
  </si>
  <si>
    <t>086111435376</t>
  </si>
  <si>
    <t>2025-03-19</t>
  </si>
  <si>
    <t>ORD0319</t>
  </si>
  <si>
    <t>Customer 319</t>
  </si>
  <si>
    <t>087358046267</t>
  </si>
  <si>
    <t>2025-04-30</t>
  </si>
  <si>
    <t>ORD0320</t>
  </si>
  <si>
    <t>Customer 320</t>
  </si>
  <si>
    <t>088700698124</t>
  </si>
  <si>
    <t>2025-04-22</t>
  </si>
  <si>
    <t>ORD0321</t>
  </si>
  <si>
    <t>Customer 321</t>
  </si>
  <si>
    <t>084234769042</t>
  </si>
  <si>
    <t>ORD0322</t>
  </si>
  <si>
    <t>Customer 322</t>
  </si>
  <si>
    <t>089790374377</t>
  </si>
  <si>
    <t>2025-07-30</t>
  </si>
  <si>
    <t>ORD0323</t>
  </si>
  <si>
    <t>Customer 323</t>
  </si>
  <si>
    <t>084014760522</t>
  </si>
  <si>
    <t>2025-01-11</t>
  </si>
  <si>
    <t>ORD0324</t>
  </si>
  <si>
    <t>Customer 324</t>
  </si>
  <si>
    <t>082902108550</t>
  </si>
  <si>
    <t>ORD0325</t>
  </si>
  <si>
    <t>Customer 325</t>
  </si>
  <si>
    <t>081520382967</t>
  </si>
  <si>
    <t>ORD0326</t>
  </si>
  <si>
    <t>Customer 326</t>
  </si>
  <si>
    <t>086625636299</t>
  </si>
  <si>
    <t>2025-09-01</t>
  </si>
  <si>
    <t>ORD0327</t>
  </si>
  <si>
    <t>Customer 327</t>
  </si>
  <si>
    <t>083601276751</t>
  </si>
  <si>
    <t>ORD0328</t>
  </si>
  <si>
    <t>Customer 328</t>
  </si>
  <si>
    <t>083946529470</t>
  </si>
  <si>
    <t>ORD0329</t>
  </si>
  <si>
    <t>Customer 329</t>
  </si>
  <si>
    <t>086229203970</t>
  </si>
  <si>
    <t>ORD0330</t>
  </si>
  <si>
    <t>Customer 330</t>
  </si>
  <si>
    <t>086669751828</t>
  </si>
  <si>
    <t>ORD0331</t>
  </si>
  <si>
    <t>Customer 331</t>
  </si>
  <si>
    <t>088169744115</t>
  </si>
  <si>
    <t>ORD0332</t>
  </si>
  <si>
    <t>Customer 332</t>
  </si>
  <si>
    <t>086555179738</t>
  </si>
  <si>
    <t>ORD0333</t>
  </si>
  <si>
    <t>Customer 333</t>
  </si>
  <si>
    <t>089958683985</t>
  </si>
  <si>
    <t>ORD0334</t>
  </si>
  <si>
    <t>Customer 334</t>
  </si>
  <si>
    <t>087488050813</t>
  </si>
  <si>
    <t>ORD0335</t>
  </si>
  <si>
    <t>Customer 335</t>
  </si>
  <si>
    <t>082956464739</t>
  </si>
  <si>
    <t>2025-04-16</t>
  </si>
  <si>
    <t>ORD0336</t>
  </si>
  <si>
    <t>Customer 336</t>
  </si>
  <si>
    <t>089905692242</t>
  </si>
  <si>
    <t>2025-03-24</t>
  </si>
  <si>
    <t>ORD0337</t>
  </si>
  <si>
    <t>Customer 337</t>
  </si>
  <si>
    <t>087374025721</t>
  </si>
  <si>
    <t>ORD0338</t>
  </si>
  <si>
    <t>Customer 338</t>
  </si>
  <si>
    <t>083042365526</t>
  </si>
  <si>
    <t>ORD0339</t>
  </si>
  <si>
    <t>Customer 339</t>
  </si>
  <si>
    <t>083103085179</t>
  </si>
  <si>
    <t>ORD0340</t>
  </si>
  <si>
    <t>Customer 340</t>
  </si>
  <si>
    <t>081306187710</t>
  </si>
  <si>
    <t>ORD0341</t>
  </si>
  <si>
    <t>Customer 341</t>
  </si>
  <si>
    <t>085669888661</t>
  </si>
  <si>
    <t>2025-04-29</t>
  </si>
  <si>
    <t>ORD0342</t>
  </si>
  <si>
    <t>Customer 342</t>
  </si>
  <si>
    <t>082805554872</t>
  </si>
  <si>
    <t>2025-05-24</t>
  </si>
  <si>
    <t>ORD0343</t>
  </si>
  <si>
    <t>Customer 343</t>
  </si>
  <si>
    <t>086524255530</t>
  </si>
  <si>
    <t>ORD0344</t>
  </si>
  <si>
    <t>Customer 344</t>
  </si>
  <si>
    <t>081373043564</t>
  </si>
  <si>
    <t>ORD0345</t>
  </si>
  <si>
    <t>Customer 345</t>
  </si>
  <si>
    <t>086760824189</t>
  </si>
  <si>
    <t>2025-01-27</t>
  </si>
  <si>
    <t>ORD0346</t>
  </si>
  <si>
    <t>Customer 346</t>
  </si>
  <si>
    <t>082729550533</t>
  </si>
  <si>
    <t>2025-03-14</t>
  </si>
  <si>
    <t>ORD0347</t>
  </si>
  <si>
    <t>Customer 347</t>
  </si>
  <si>
    <t>086887018350</t>
  </si>
  <si>
    <t>ORD0348</t>
  </si>
  <si>
    <t>Customer 348</t>
  </si>
  <si>
    <t>089804386425</t>
  </si>
  <si>
    <t>ORD0349</t>
  </si>
  <si>
    <t>Customer 349</t>
  </si>
  <si>
    <t>089247122693</t>
  </si>
  <si>
    <t>ORD0350</t>
  </si>
  <si>
    <t>Customer 350</t>
  </si>
  <si>
    <t>088476000246</t>
  </si>
  <si>
    <t>2025-01-03</t>
  </si>
  <si>
    <t>ORD0351</t>
  </si>
  <si>
    <t>Customer 351</t>
  </si>
  <si>
    <t>088165557862</t>
  </si>
  <si>
    <t>ORD0352</t>
  </si>
  <si>
    <t>Customer 352</t>
  </si>
  <si>
    <t>081255020626</t>
  </si>
  <si>
    <t>ORD0353</t>
  </si>
  <si>
    <t>Customer 353</t>
  </si>
  <si>
    <t>085061862949</t>
  </si>
  <si>
    <t>2025-10-28</t>
  </si>
  <si>
    <t>ORD0354</t>
  </si>
  <si>
    <t>Customer 354</t>
  </si>
  <si>
    <t>086677229821</t>
  </si>
  <si>
    <t>ORD0355</t>
  </si>
  <si>
    <t>Customer 355</t>
  </si>
  <si>
    <t>082556609734</t>
  </si>
  <si>
    <t>2025-11-30</t>
  </si>
  <si>
    <t>ORD0356</t>
  </si>
  <si>
    <t>Customer 356</t>
  </si>
  <si>
    <t>083036169921</t>
  </si>
  <si>
    <t>2025-03-17</t>
  </si>
  <si>
    <t>ORD0357</t>
  </si>
  <si>
    <t>Customer 357</t>
  </si>
  <si>
    <t>087809386374</t>
  </si>
  <si>
    <t>ORD0358</t>
  </si>
  <si>
    <t>Customer 358</t>
  </si>
  <si>
    <t>083037549910</t>
  </si>
  <si>
    <t>2025-11-26</t>
  </si>
  <si>
    <t>ORD0359</t>
  </si>
  <si>
    <t>Customer 359</t>
  </si>
  <si>
    <t>088484471104</t>
  </si>
  <si>
    <t>ORD0360</t>
  </si>
  <si>
    <t>Customer 360</t>
  </si>
  <si>
    <t>088256283091</t>
  </si>
  <si>
    <t>2025-07-27</t>
  </si>
  <si>
    <t>ORD0361</t>
  </si>
  <si>
    <t>Customer 361</t>
  </si>
  <si>
    <t>082245078209</t>
  </si>
  <si>
    <t>2025-04-13</t>
  </si>
  <si>
    <t>ORD0362</t>
  </si>
  <si>
    <t>Customer 362</t>
  </si>
  <si>
    <t>088086058690</t>
  </si>
  <si>
    <t>ORD0363</t>
  </si>
  <si>
    <t>Customer 363</t>
  </si>
  <si>
    <t>086382589721</t>
  </si>
  <si>
    <t>ORD0364</t>
  </si>
  <si>
    <t>Customer 364</t>
  </si>
  <si>
    <t>089403552549</t>
  </si>
  <si>
    <t>ORD0365</t>
  </si>
  <si>
    <t>Customer 365</t>
  </si>
  <si>
    <t>081299624278</t>
  </si>
  <si>
    <t>ORD0366</t>
  </si>
  <si>
    <t>Customer 366</t>
  </si>
  <si>
    <t>084764729863</t>
  </si>
  <si>
    <t>2025-02-24</t>
  </si>
  <si>
    <t>ORD0367</t>
  </si>
  <si>
    <t>Customer 367</t>
  </si>
  <si>
    <t>088947544272</t>
  </si>
  <si>
    <t>ORD0368</t>
  </si>
  <si>
    <t>Customer 368</t>
  </si>
  <si>
    <t>089612927588</t>
  </si>
  <si>
    <t>ORD0369</t>
  </si>
  <si>
    <t>Customer 369</t>
  </si>
  <si>
    <t>087397460261</t>
  </si>
  <si>
    <t>ORD0370</t>
  </si>
  <si>
    <t>Customer 370</t>
  </si>
  <si>
    <t>083292950162</t>
  </si>
  <si>
    <t>2025-05-21</t>
  </si>
  <si>
    <t>ORD0371</t>
  </si>
  <si>
    <t>Customer 371</t>
  </si>
  <si>
    <t>085780545380</t>
  </si>
  <si>
    <t>ORD0372</t>
  </si>
  <si>
    <t>Customer 372</t>
  </si>
  <si>
    <t>087282197089</t>
  </si>
  <si>
    <t>2025-03-09</t>
  </si>
  <si>
    <t>ORD0373</t>
  </si>
  <si>
    <t>Customer 373</t>
  </si>
  <si>
    <t>089975271046</t>
  </si>
  <si>
    <t>ORD0374</t>
  </si>
  <si>
    <t>Customer 374</t>
  </si>
  <si>
    <t>082497890941</t>
  </si>
  <si>
    <t>ORD0375</t>
  </si>
  <si>
    <t>Customer 375</t>
  </si>
  <si>
    <t>083769864886</t>
  </si>
  <si>
    <t>ORD0376</t>
  </si>
  <si>
    <t>Customer 376</t>
  </si>
  <si>
    <t>088850957658</t>
  </si>
  <si>
    <t>2025-12-07</t>
  </si>
  <si>
    <t>ORD0377</t>
  </si>
  <si>
    <t>Customer 377</t>
  </si>
  <si>
    <t>085540470751</t>
  </si>
  <si>
    <t>2025-10-13</t>
  </si>
  <si>
    <t>ORD0378</t>
  </si>
  <si>
    <t>Customer 378</t>
  </si>
  <si>
    <t>089629666156</t>
  </si>
  <si>
    <t>ORD0379</t>
  </si>
  <si>
    <t>Customer 379</t>
  </si>
  <si>
    <t>088947326303</t>
  </si>
  <si>
    <t>2025-06-26</t>
  </si>
  <si>
    <t>ORD0380</t>
  </si>
  <si>
    <t>Customer 380</t>
  </si>
  <si>
    <t>089990576598</t>
  </si>
  <si>
    <t>ORD0381</t>
  </si>
  <si>
    <t>Customer 381</t>
  </si>
  <si>
    <t>083945477972</t>
  </si>
  <si>
    <t>ORD0382</t>
  </si>
  <si>
    <t>Customer 382</t>
  </si>
  <si>
    <t>084347732343</t>
  </si>
  <si>
    <t>ORD0383</t>
  </si>
  <si>
    <t>Customer 383</t>
  </si>
  <si>
    <t>082408868019</t>
  </si>
  <si>
    <t>ORD0384</t>
  </si>
  <si>
    <t>Customer 384</t>
  </si>
  <si>
    <t>085161226405</t>
  </si>
  <si>
    <t>ORD0385</t>
  </si>
  <si>
    <t>Customer 385</t>
  </si>
  <si>
    <t>089258818875</t>
  </si>
  <si>
    <t>ORD0386</t>
  </si>
  <si>
    <t>Customer 386</t>
  </si>
  <si>
    <t>086294541394</t>
  </si>
  <si>
    <t>ORD0387</t>
  </si>
  <si>
    <t>Customer 387</t>
  </si>
  <si>
    <t>085603743638</t>
  </si>
  <si>
    <t>2025-01-13</t>
  </si>
  <si>
    <t>ORD0388</t>
  </si>
  <si>
    <t>Customer 388</t>
  </si>
  <si>
    <t>088255721997</t>
  </si>
  <si>
    <t>ORD0389</t>
  </si>
  <si>
    <t>Customer 389</t>
  </si>
  <si>
    <t>082923231088</t>
  </si>
  <si>
    <t>ORD0390</t>
  </si>
  <si>
    <t>Customer 390</t>
  </si>
  <si>
    <t>081724669800</t>
  </si>
  <si>
    <t>ORD0391</t>
  </si>
  <si>
    <t>Customer 391</t>
  </si>
  <si>
    <t>081480902115</t>
  </si>
  <si>
    <t>ORD0392</t>
  </si>
  <si>
    <t>Customer 392</t>
  </si>
  <si>
    <t>085530742405</t>
  </si>
  <si>
    <t>ORD0393</t>
  </si>
  <si>
    <t>Customer 393</t>
  </si>
  <si>
    <t>086234539783</t>
  </si>
  <si>
    <t>2025-06-10</t>
  </si>
  <si>
    <t>ORD0394</t>
  </si>
  <si>
    <t>Customer 394</t>
  </si>
  <si>
    <t>082938020810</t>
  </si>
  <si>
    <t>ORD0395</t>
  </si>
  <si>
    <t>Customer 395</t>
  </si>
  <si>
    <t>081164881192</t>
  </si>
  <si>
    <t>ORD0396</t>
  </si>
  <si>
    <t>Customer 396</t>
  </si>
  <si>
    <t>087082422357</t>
  </si>
  <si>
    <t>2025-04-28</t>
  </si>
  <si>
    <t>ORD0397</t>
  </si>
  <si>
    <t>Customer 397</t>
  </si>
  <si>
    <t>082261371191</t>
  </si>
  <si>
    <t>2025-08-25</t>
  </si>
  <si>
    <t>ORD0398</t>
  </si>
  <si>
    <t>Customer 398</t>
  </si>
  <si>
    <t>086161925054</t>
  </si>
  <si>
    <t>ORD0399</t>
  </si>
  <si>
    <t>Customer 399</t>
  </si>
  <si>
    <t>082828209870</t>
  </si>
  <si>
    <t>2025-02-18</t>
  </si>
  <si>
    <t>ORD0400</t>
  </si>
  <si>
    <t>Customer 400</t>
  </si>
  <si>
    <t>084988042441</t>
  </si>
  <si>
    <t>ORD0401</t>
  </si>
  <si>
    <t>Customer 401</t>
  </si>
  <si>
    <t>082019955564</t>
  </si>
  <si>
    <t>ORD0402</t>
  </si>
  <si>
    <t>Customer 402</t>
  </si>
  <si>
    <t>086177770101</t>
  </si>
  <si>
    <t>ORD0403</t>
  </si>
  <si>
    <t>Customer 403</t>
  </si>
  <si>
    <t>084962415336</t>
  </si>
  <si>
    <t>ORD0404</t>
  </si>
  <si>
    <t>Customer 404</t>
  </si>
  <si>
    <t>085082512854</t>
  </si>
  <si>
    <t>2025-04-25</t>
  </si>
  <si>
    <t>ORD0405</t>
  </si>
  <si>
    <t>Customer 405</t>
  </si>
  <si>
    <t>081447713615</t>
  </si>
  <si>
    <t>ORD0406</t>
  </si>
  <si>
    <t>Customer 406</t>
  </si>
  <si>
    <t>081141553658</t>
  </si>
  <si>
    <t>ORD0407</t>
  </si>
  <si>
    <t>Customer 407</t>
  </si>
  <si>
    <t>087881576096</t>
  </si>
  <si>
    <t>ORD0408</t>
  </si>
  <si>
    <t>Customer 408</t>
  </si>
  <si>
    <t>084039624792</t>
  </si>
  <si>
    <t>2025-08-08</t>
  </si>
  <si>
    <t>ORD0409</t>
  </si>
  <si>
    <t>Customer 409</t>
  </si>
  <si>
    <t>088530468590</t>
  </si>
  <si>
    <t>ORD0410</t>
  </si>
  <si>
    <t>Customer 410</t>
  </si>
  <si>
    <t>081287907264</t>
  </si>
  <si>
    <t>ORD0411</t>
  </si>
  <si>
    <t>Customer 411</t>
  </si>
  <si>
    <t>088126150740</t>
  </si>
  <si>
    <t>2025-12-22</t>
  </si>
  <si>
    <t>ORD0412</t>
  </si>
  <si>
    <t>Customer 412</t>
  </si>
  <si>
    <t>082428398434</t>
  </si>
  <si>
    <t>2025-06-11</t>
  </si>
  <si>
    <t>ORD0413</t>
  </si>
  <si>
    <t>Customer 413</t>
  </si>
  <si>
    <t>088295001252</t>
  </si>
  <si>
    <t>ORD0414</t>
  </si>
  <si>
    <t>Customer 414</t>
  </si>
  <si>
    <t>084155156123</t>
  </si>
  <si>
    <t>2025-01-17</t>
  </si>
  <si>
    <t>ORD0415</t>
  </si>
  <si>
    <t>Customer 415</t>
  </si>
  <si>
    <t>082399196846</t>
  </si>
  <si>
    <t>ORD0416</t>
  </si>
  <si>
    <t>Customer 416</t>
  </si>
  <si>
    <t>081720462250</t>
  </si>
  <si>
    <t>ORD0417</t>
  </si>
  <si>
    <t>Customer 417</t>
  </si>
  <si>
    <t>082863440210</t>
  </si>
  <si>
    <t>ORD0418</t>
  </si>
  <si>
    <t>Customer 418</t>
  </si>
  <si>
    <t>086005798681</t>
  </si>
  <si>
    <t>2025-08-04</t>
  </si>
  <si>
    <t>ORD0419</t>
  </si>
  <si>
    <t>Customer 419</t>
  </si>
  <si>
    <t>085687432414</t>
  </si>
  <si>
    <t>ORD0420</t>
  </si>
  <si>
    <t>Customer 420</t>
  </si>
  <si>
    <t>085837515429</t>
  </si>
  <si>
    <t>ORD0421</t>
  </si>
  <si>
    <t>Customer 421</t>
  </si>
  <si>
    <t>081967111351</t>
  </si>
  <si>
    <t>ORD0422</t>
  </si>
  <si>
    <t>Customer 422</t>
  </si>
  <si>
    <t>089986003997</t>
  </si>
  <si>
    <t>ORD0423</t>
  </si>
  <si>
    <t>Customer 423</t>
  </si>
  <si>
    <t>083626247069</t>
  </si>
  <si>
    <t>ORD0424</t>
  </si>
  <si>
    <t>Customer 424</t>
  </si>
  <si>
    <t>081595185018</t>
  </si>
  <si>
    <t>ORD0425</t>
  </si>
  <si>
    <t>Customer 425</t>
  </si>
  <si>
    <t>089967893583</t>
  </si>
  <si>
    <t>ORD0426</t>
  </si>
  <si>
    <t>Customer 426</t>
  </si>
  <si>
    <t>083540780449</t>
  </si>
  <si>
    <t>ORD0427</t>
  </si>
  <si>
    <t>Customer 427</t>
  </si>
  <si>
    <t>081666221595</t>
  </si>
  <si>
    <t>2025-12-23</t>
  </si>
  <si>
    <t>ORD0428</t>
  </si>
  <si>
    <t>Customer 428</t>
  </si>
  <si>
    <t>086356158471</t>
  </si>
  <si>
    <t>2025-02-17</t>
  </si>
  <si>
    <t>ORD0429</t>
  </si>
  <si>
    <t>Customer 429</t>
  </si>
  <si>
    <t>082990242031</t>
  </si>
  <si>
    <t>ORD0430</t>
  </si>
  <si>
    <t>Customer 430</t>
  </si>
  <si>
    <t>085977450572</t>
  </si>
  <si>
    <t>ORD0431</t>
  </si>
  <si>
    <t>Customer 431</t>
  </si>
  <si>
    <t>082532456089</t>
  </si>
  <si>
    <t>2025-07-11</t>
  </si>
  <si>
    <t>ORD0432</t>
  </si>
  <si>
    <t>Customer 432</t>
  </si>
  <si>
    <t>081596287772</t>
  </si>
  <si>
    <t>2025-08-06</t>
  </si>
  <si>
    <t>ORD0433</t>
  </si>
  <si>
    <t>Customer 433</t>
  </si>
  <si>
    <t>086928401326</t>
  </si>
  <si>
    <t>2025-07-09</t>
  </si>
  <si>
    <t>ORD0434</t>
  </si>
  <si>
    <t>Customer 434</t>
  </si>
  <si>
    <t>081310270313</t>
  </si>
  <si>
    <t>ORD0435</t>
  </si>
  <si>
    <t>Customer 435</t>
  </si>
  <si>
    <t>085887661215</t>
  </si>
  <si>
    <t>ORD0436</t>
  </si>
  <si>
    <t>Customer 436</t>
  </si>
  <si>
    <t>081294491916</t>
  </si>
  <si>
    <t>ORD0437</t>
  </si>
  <si>
    <t>Customer 437</t>
  </si>
  <si>
    <t>088562314983</t>
  </si>
  <si>
    <t>ORD0438</t>
  </si>
  <si>
    <t>Customer 438</t>
  </si>
  <si>
    <t>088010073990</t>
  </si>
  <si>
    <t>ORD0439</t>
  </si>
  <si>
    <t>Customer 439</t>
  </si>
  <si>
    <t>089354400999</t>
  </si>
  <si>
    <t>2025-09-19</t>
  </si>
  <si>
    <t>ORD0440</t>
  </si>
  <si>
    <t>Customer 440</t>
  </si>
  <si>
    <t>081848678861</t>
  </si>
  <si>
    <t>2025-10-07</t>
  </si>
  <si>
    <t>ORD0441</t>
  </si>
  <si>
    <t>Customer 441</t>
  </si>
  <si>
    <t>086482384795</t>
  </si>
  <si>
    <t>2025-07-04</t>
  </si>
  <si>
    <t>ORD0442</t>
  </si>
  <si>
    <t>Customer 442</t>
  </si>
  <si>
    <t>089057181624</t>
  </si>
  <si>
    <t>ORD0443</t>
  </si>
  <si>
    <t>Customer 443</t>
  </si>
  <si>
    <t>088309042668</t>
  </si>
  <si>
    <t>ORD0444</t>
  </si>
  <si>
    <t>Customer 444</t>
  </si>
  <si>
    <t>084247872831</t>
  </si>
  <si>
    <t>2025-10-24</t>
  </si>
  <si>
    <t>ORD0445</t>
  </si>
  <si>
    <t>Customer 445</t>
  </si>
  <si>
    <t>087838163152</t>
  </si>
  <si>
    <t>ORD0446</t>
  </si>
  <si>
    <t>Customer 446</t>
  </si>
  <si>
    <t>087028214718</t>
  </si>
  <si>
    <t>2025-01-05</t>
  </si>
  <si>
    <t>ORD0447</t>
  </si>
  <si>
    <t>Customer 447</t>
  </si>
  <si>
    <t>083968929518</t>
  </si>
  <si>
    <t>2025-06-07</t>
  </si>
  <si>
    <t>ORD0448</t>
  </si>
  <si>
    <t>Customer 448</t>
  </si>
  <si>
    <t>083899188719</t>
  </si>
  <si>
    <t>ORD0449</t>
  </si>
  <si>
    <t>Customer 449</t>
  </si>
  <si>
    <t>086749612154</t>
  </si>
  <si>
    <t>ORD0450</t>
  </si>
  <si>
    <t>Customer 450</t>
  </si>
  <si>
    <t>086054791105</t>
  </si>
  <si>
    <t>ORD0451</t>
  </si>
  <si>
    <t>Customer 451</t>
  </si>
  <si>
    <t>088706310217</t>
  </si>
  <si>
    <t>ORD0452</t>
  </si>
  <si>
    <t>Customer 452</t>
  </si>
  <si>
    <t>086489893522</t>
  </si>
  <si>
    <t>ORD0453</t>
  </si>
  <si>
    <t>Customer 453</t>
  </si>
  <si>
    <t>084574758518</t>
  </si>
  <si>
    <t>ORD0454</t>
  </si>
  <si>
    <t>Customer 454</t>
  </si>
  <si>
    <t>084577839269</t>
  </si>
  <si>
    <t>ORD0455</t>
  </si>
  <si>
    <t>Customer 455</t>
  </si>
  <si>
    <t>083728395073</t>
  </si>
  <si>
    <t>ORD0456</t>
  </si>
  <si>
    <t>Customer 456</t>
  </si>
  <si>
    <t>082480927179</t>
  </si>
  <si>
    <t>2025-02-19</t>
  </si>
  <si>
    <t>ORD0457</t>
  </si>
  <si>
    <t>Customer 457</t>
  </si>
  <si>
    <t>088297386953</t>
  </si>
  <si>
    <t>ORD0458</t>
  </si>
  <si>
    <t>Customer 458</t>
  </si>
  <si>
    <t>084382992291</t>
  </si>
  <si>
    <t>2025-06-30</t>
  </si>
  <si>
    <t>ORD0459</t>
  </si>
  <si>
    <t>Customer 459</t>
  </si>
  <si>
    <t>087661341673</t>
  </si>
  <si>
    <t>ORD0460</t>
  </si>
  <si>
    <t>Customer 460</t>
  </si>
  <si>
    <t>084086018805</t>
  </si>
  <si>
    <t>ORD0461</t>
  </si>
  <si>
    <t>Customer 461</t>
  </si>
  <si>
    <t>089963377338</t>
  </si>
  <si>
    <t>ORD0462</t>
  </si>
  <si>
    <t>Customer 462</t>
  </si>
  <si>
    <t>085709703764</t>
  </si>
  <si>
    <t>2025-04-07</t>
  </si>
  <si>
    <t>ORD0463</t>
  </si>
  <si>
    <t>Customer 463</t>
  </si>
  <si>
    <t>087541569708</t>
  </si>
  <si>
    <t>ORD0464</t>
  </si>
  <si>
    <t>Customer 464</t>
  </si>
  <si>
    <t>083278203594</t>
  </si>
  <si>
    <t>ORD0465</t>
  </si>
  <si>
    <t>Customer 465</t>
  </si>
  <si>
    <t>082404355519</t>
  </si>
  <si>
    <t>ORD0466</t>
  </si>
  <si>
    <t>Customer 466</t>
  </si>
  <si>
    <t>082940451458</t>
  </si>
  <si>
    <t>2025-01-29</t>
  </si>
  <si>
    <t>ORD0467</t>
  </si>
  <si>
    <t>Customer 467</t>
  </si>
  <si>
    <t>082946396993</t>
  </si>
  <si>
    <t>ORD0468</t>
  </si>
  <si>
    <t>Customer 468</t>
  </si>
  <si>
    <t>089487520725</t>
  </si>
  <si>
    <t>2025-03-12</t>
  </si>
  <si>
    <t>ORD0469</t>
  </si>
  <si>
    <t>Customer 469</t>
  </si>
  <si>
    <t>083962306066</t>
  </si>
  <si>
    <t>ORD0470</t>
  </si>
  <si>
    <t>Customer 470</t>
  </si>
  <si>
    <t>088324492118</t>
  </si>
  <si>
    <t>ORD0471</t>
  </si>
  <si>
    <t>Customer 471</t>
  </si>
  <si>
    <t>082479363583</t>
  </si>
  <si>
    <t>2025-10-10</t>
  </si>
  <si>
    <t>ORD0472</t>
  </si>
  <si>
    <t>Customer 472</t>
  </si>
  <si>
    <t>089270231184</t>
  </si>
  <si>
    <t>2025-04-21</t>
  </si>
  <si>
    <t>ORD0473</t>
  </si>
  <si>
    <t>Customer 473</t>
  </si>
  <si>
    <t>083935322805</t>
  </si>
  <si>
    <t>2025-03-06</t>
  </si>
  <si>
    <t>ORD0474</t>
  </si>
  <si>
    <t>Customer 474</t>
  </si>
  <si>
    <t>082271626639</t>
  </si>
  <si>
    <t>ORD0475</t>
  </si>
  <si>
    <t>Customer 475</t>
  </si>
  <si>
    <t>082218101588</t>
  </si>
  <si>
    <t>ORD0476</t>
  </si>
  <si>
    <t>Customer 476</t>
  </si>
  <si>
    <t>084379590988</t>
  </si>
  <si>
    <t>2025-01-06</t>
  </si>
  <si>
    <t>ORD0477</t>
  </si>
  <si>
    <t>Customer 477</t>
  </si>
  <si>
    <t>082589624029</t>
  </si>
  <si>
    <t>ORD0478</t>
  </si>
  <si>
    <t>Customer 478</t>
  </si>
  <si>
    <t>083231927754</t>
  </si>
  <si>
    <t>ORD0479</t>
  </si>
  <si>
    <t>Customer 479</t>
  </si>
  <si>
    <t>084060390261</t>
  </si>
  <si>
    <t>2025-04-08</t>
  </si>
  <si>
    <t>ORD0480</t>
  </si>
  <si>
    <t>Customer 480</t>
  </si>
  <si>
    <t>087751676072</t>
  </si>
  <si>
    <t>ORD0481</t>
  </si>
  <si>
    <t>Customer 481</t>
  </si>
  <si>
    <t>086549589795</t>
  </si>
  <si>
    <t>2025-10-22</t>
  </si>
  <si>
    <t>ORD0482</t>
  </si>
  <si>
    <t>Customer 482</t>
  </si>
  <si>
    <t>086918500274</t>
  </si>
  <si>
    <t>ORD0483</t>
  </si>
  <si>
    <t>Customer 483</t>
  </si>
  <si>
    <t>085181966368</t>
  </si>
  <si>
    <t>2025-08-28</t>
  </si>
  <si>
    <t>ORD0484</t>
  </si>
  <si>
    <t>Customer 484</t>
  </si>
  <si>
    <t>082647639901</t>
  </si>
  <si>
    <t>ORD0485</t>
  </si>
  <si>
    <t>Customer 485</t>
  </si>
  <si>
    <t>086613714514</t>
  </si>
  <si>
    <t>ORD0486</t>
  </si>
  <si>
    <t>Customer 486</t>
  </si>
  <si>
    <t>084938655715</t>
  </si>
  <si>
    <t>ORD0487</t>
  </si>
  <si>
    <t>Customer 487</t>
  </si>
  <si>
    <t>087821606749</t>
  </si>
  <si>
    <t>ORD0488</t>
  </si>
  <si>
    <t>Customer 488</t>
  </si>
  <si>
    <t>086200456255</t>
  </si>
  <si>
    <t>ORD0489</t>
  </si>
  <si>
    <t>Customer 489</t>
  </si>
  <si>
    <t>081756471052</t>
  </si>
  <si>
    <t>ORD0490</t>
  </si>
  <si>
    <t>Customer 490</t>
  </si>
  <si>
    <t>086731274464</t>
  </si>
  <si>
    <t>ORD0491</t>
  </si>
  <si>
    <t>Customer 491</t>
  </si>
  <si>
    <t>082555099714</t>
  </si>
  <si>
    <t>ORD0492</t>
  </si>
  <si>
    <t>Customer 492</t>
  </si>
  <si>
    <t>083319195212</t>
  </si>
  <si>
    <t>ORD0493</t>
  </si>
  <si>
    <t>Customer 493</t>
  </si>
  <si>
    <t>086365667725</t>
  </si>
  <si>
    <t>ORD0494</t>
  </si>
  <si>
    <t>Customer 494</t>
  </si>
  <si>
    <t>082949336114</t>
  </si>
  <si>
    <t>2025-07-15</t>
  </si>
  <si>
    <t>ORD0495</t>
  </si>
  <si>
    <t>Customer 495</t>
  </si>
  <si>
    <t>082072497280</t>
  </si>
  <si>
    <t>ORD0496</t>
  </si>
  <si>
    <t>Customer 496</t>
  </si>
  <si>
    <t>088312387799</t>
  </si>
  <si>
    <t>2025-07-26</t>
  </si>
  <si>
    <t>ORD0497</t>
  </si>
  <si>
    <t>Customer 497</t>
  </si>
  <si>
    <t>086899297823</t>
  </si>
  <si>
    <t>ORD0498</t>
  </si>
  <si>
    <t>Customer 498</t>
  </si>
  <si>
    <t>083442075181</t>
  </si>
  <si>
    <t>2025-12-14</t>
  </si>
  <si>
    <t>ORD0499</t>
  </si>
  <si>
    <t>Customer 499</t>
  </si>
  <si>
    <t>084287460335</t>
  </si>
  <si>
    <t>ORD0500</t>
  </si>
  <si>
    <t>Customer 500</t>
  </si>
  <si>
    <t>086450531478</t>
  </si>
  <si>
    <t>2025-05-19</t>
  </si>
  <si>
    <t>ORD0501</t>
  </si>
  <si>
    <t>Customer 501</t>
  </si>
  <si>
    <t>088073964636</t>
  </si>
  <si>
    <t>2025-02-13</t>
  </si>
  <si>
    <t>ORD0502</t>
  </si>
  <si>
    <t>Customer 502</t>
  </si>
  <si>
    <t>088861350119</t>
  </si>
  <si>
    <t>2025-02-23</t>
  </si>
  <si>
    <t>ORD0503</t>
  </si>
  <si>
    <t>Customer 503</t>
  </si>
  <si>
    <t>086304224589</t>
  </si>
  <si>
    <t>ORD0504</t>
  </si>
  <si>
    <t>Customer 504</t>
  </si>
  <si>
    <t>088466524644</t>
  </si>
  <si>
    <t>ORD0505</t>
  </si>
  <si>
    <t>Customer 505</t>
  </si>
  <si>
    <t>084347940226</t>
  </si>
  <si>
    <t>ORD0506</t>
  </si>
  <si>
    <t>Customer 506</t>
  </si>
  <si>
    <t>086084718126</t>
  </si>
  <si>
    <t>2025-01-09</t>
  </si>
  <si>
    <t>ORD0507</t>
  </si>
  <si>
    <t>Customer 507</t>
  </si>
  <si>
    <t>088777856436</t>
  </si>
  <si>
    <t>ORD0508</t>
  </si>
  <si>
    <t>Customer 508</t>
  </si>
  <si>
    <t>089384490907</t>
  </si>
  <si>
    <t>ORD0509</t>
  </si>
  <si>
    <t>Customer 509</t>
  </si>
  <si>
    <t>081730147341</t>
  </si>
  <si>
    <t>ORD0510</t>
  </si>
  <si>
    <t>Customer 510</t>
  </si>
  <si>
    <t>082811120706</t>
  </si>
  <si>
    <t>ORD0511</t>
  </si>
  <si>
    <t>Customer 511</t>
  </si>
  <si>
    <t>083291593181</t>
  </si>
  <si>
    <t>ORD0512</t>
  </si>
  <si>
    <t>Customer 512</t>
  </si>
  <si>
    <t>082615460959</t>
  </si>
  <si>
    <t>ORD0513</t>
  </si>
  <si>
    <t>Customer 513</t>
  </si>
  <si>
    <t>089778776663</t>
  </si>
  <si>
    <t>ORD0514</t>
  </si>
  <si>
    <t>Customer 514</t>
  </si>
  <si>
    <t>089478973852</t>
  </si>
  <si>
    <t>ORD0515</t>
  </si>
  <si>
    <t>Customer 515</t>
  </si>
  <si>
    <t>087098482131</t>
  </si>
  <si>
    <t>2025-03-21</t>
  </si>
  <si>
    <t>ORD0516</t>
  </si>
  <si>
    <t>Customer 516</t>
  </si>
  <si>
    <t>087612826260</t>
  </si>
  <si>
    <t>ORD0517</t>
  </si>
  <si>
    <t>Customer 517</t>
  </si>
  <si>
    <t>088047282092</t>
  </si>
  <si>
    <t>ORD0518</t>
  </si>
  <si>
    <t>Customer 518</t>
  </si>
  <si>
    <t>085236280556</t>
  </si>
  <si>
    <t>2025-04-04</t>
  </si>
  <si>
    <t>ORD0519</t>
  </si>
  <si>
    <t>Customer 519</t>
  </si>
  <si>
    <t>089784262456</t>
  </si>
  <si>
    <t>ORD0520</t>
  </si>
  <si>
    <t>Customer 520</t>
  </si>
  <si>
    <t>089068421285</t>
  </si>
  <si>
    <t>ORD0521</t>
  </si>
  <si>
    <t>Customer 521</t>
  </si>
  <si>
    <t>089574720667</t>
  </si>
  <si>
    <t>ORD0522</t>
  </si>
  <si>
    <t>Customer 522</t>
  </si>
  <si>
    <t>087343818341</t>
  </si>
  <si>
    <t>ORD0523</t>
  </si>
  <si>
    <t>Customer 523</t>
  </si>
  <si>
    <t>083736341353</t>
  </si>
  <si>
    <t>ORD0524</t>
  </si>
  <si>
    <t>Customer 524</t>
  </si>
  <si>
    <t>081641310167</t>
  </si>
  <si>
    <t>2025-03-27</t>
  </si>
  <si>
    <t>ORD0525</t>
  </si>
  <si>
    <t>Customer 525</t>
  </si>
  <si>
    <t>088281834636</t>
  </si>
  <si>
    <t>2025-06-22</t>
  </si>
  <si>
    <t>ORD0526</t>
  </si>
  <si>
    <t>Customer 526</t>
  </si>
  <si>
    <t>089831923118</t>
  </si>
  <si>
    <t>2025-07-07</t>
  </si>
  <si>
    <t>ORD0527</t>
  </si>
  <si>
    <t>Customer 527</t>
  </si>
  <si>
    <t>085836924701</t>
  </si>
  <si>
    <t>ORD0528</t>
  </si>
  <si>
    <t>Customer 528</t>
  </si>
  <si>
    <t>087051276110</t>
  </si>
  <si>
    <t>ORD0529</t>
  </si>
  <si>
    <t>Customer 529</t>
  </si>
  <si>
    <t>082235092250</t>
  </si>
  <si>
    <t>ORD0530</t>
  </si>
  <si>
    <t>Customer 530</t>
  </si>
  <si>
    <t>086050694216</t>
  </si>
  <si>
    <t>ORD0531</t>
  </si>
  <si>
    <t>Customer 531</t>
  </si>
  <si>
    <t>085511540026</t>
  </si>
  <si>
    <t>ORD0532</t>
  </si>
  <si>
    <t>Customer 532</t>
  </si>
  <si>
    <t>087266354226</t>
  </si>
  <si>
    <t>ORD0533</t>
  </si>
  <si>
    <t>Customer 533</t>
  </si>
  <si>
    <t>087054860215</t>
  </si>
  <si>
    <t>ORD0534</t>
  </si>
  <si>
    <t>Customer 534</t>
  </si>
  <si>
    <t>085277809313</t>
  </si>
  <si>
    <t>ORD0535</t>
  </si>
  <si>
    <t>Customer 535</t>
  </si>
  <si>
    <t>081424858413</t>
  </si>
  <si>
    <t>ORD0536</t>
  </si>
  <si>
    <t>Customer 536</t>
  </si>
  <si>
    <t>089797946953</t>
  </si>
  <si>
    <t>ORD0537</t>
  </si>
  <si>
    <t>Customer 537</t>
  </si>
  <si>
    <t>085534423400</t>
  </si>
  <si>
    <t>ORD0538</t>
  </si>
  <si>
    <t>Customer 538</t>
  </si>
  <si>
    <t>086266551868</t>
  </si>
  <si>
    <t>ORD0539</t>
  </si>
  <si>
    <t>Customer 539</t>
  </si>
  <si>
    <t>085068130722</t>
  </si>
  <si>
    <t>2025-06-13</t>
  </si>
  <si>
    <t>ORD0540</t>
  </si>
  <si>
    <t>Customer 540</t>
  </si>
  <si>
    <t>085733605914</t>
  </si>
  <si>
    <t>ORD0541</t>
  </si>
  <si>
    <t>Customer 541</t>
  </si>
  <si>
    <t>087277928696</t>
  </si>
  <si>
    <t>2025-11-10</t>
  </si>
  <si>
    <t>ORD0542</t>
  </si>
  <si>
    <t>Customer 542</t>
  </si>
  <si>
    <t>087960471892</t>
  </si>
  <si>
    <t>ORD0543</t>
  </si>
  <si>
    <t>Customer 543</t>
  </si>
  <si>
    <t>087920942406</t>
  </si>
  <si>
    <t>ORD0544</t>
  </si>
  <si>
    <t>Customer 544</t>
  </si>
  <si>
    <t>081259941402</t>
  </si>
  <si>
    <t>ORD0545</t>
  </si>
  <si>
    <t>Customer 545</t>
  </si>
  <si>
    <t>081669675704</t>
  </si>
  <si>
    <t>ORD0546</t>
  </si>
  <si>
    <t>Customer 546</t>
  </si>
  <si>
    <t>089928377989</t>
  </si>
  <si>
    <t>ORD0547</t>
  </si>
  <si>
    <t>Customer 547</t>
  </si>
  <si>
    <t>086222391529</t>
  </si>
  <si>
    <t>ORD0548</t>
  </si>
  <si>
    <t>Customer 548</t>
  </si>
  <si>
    <t>082603868586</t>
  </si>
  <si>
    <t>2025-04-20</t>
  </si>
  <si>
    <t>ORD0549</t>
  </si>
  <si>
    <t>Customer 549</t>
  </si>
  <si>
    <t>086835804861</t>
  </si>
  <si>
    <t>ORD0550</t>
  </si>
  <si>
    <t>Customer 550</t>
  </si>
  <si>
    <t>084502914862</t>
  </si>
  <si>
    <t>2025-02-20</t>
  </si>
  <si>
    <t>Sales Category</t>
  </si>
  <si>
    <t>Total Revenue</t>
  </si>
  <si>
    <t>Total Order</t>
  </si>
  <si>
    <t>Top Product</t>
  </si>
  <si>
    <t>Top City</t>
  </si>
  <si>
    <t>Row Labels</t>
  </si>
  <si>
    <t>Grand Total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</si>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</sst>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2" borderId="1" xfId="0" applyNumberFormat="1" applyFill="1" applyBorder="1" applyAlignment="1">
      <alignment horizontal="left"/>
    </xf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64" formatCode="&quot;Rp&quot;#,##0.00"/>
      <alignment horizontal="left" vertical="bottom" textRotation="0" wrapText="0" indent="0" justifyLastLine="0" shrinkToFit="0" readingOrder="0"/>
    </dxf>
    <dxf>
      <numFmt numFmtId="164" formatCode="&quot;Rp&quot;#,##0.00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[Customer_Order_Management.xlsx]Pivot Table!PivotTable2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Bandung</c:v>
                </c:pt>
                <c:pt idx="1">
                  <c:v>Denpasar</c:v>
                </c:pt>
                <c:pt idx="2">
                  <c:v>Jakarta</c:v>
                </c:pt>
                <c:pt idx="3">
                  <c:v>Makassar</c:v>
                </c:pt>
                <c:pt idx="4">
                  <c:v>Malang</c:v>
                </c:pt>
                <c:pt idx="5">
                  <c:v>Surabaya</c:v>
                </c:pt>
                <c:pt idx="6">
                  <c:v>Yogyakarta</c:v>
                </c:pt>
              </c:strCache>
            </c:strRef>
          </c:cat>
          <c:val>
            <c:numRef>
              <c:f>'Pivot Table'!$B$2:$B$9</c:f>
              <c:numCache>
                <c:formatCode>"Rp"#,##0.00</c:formatCode>
                <c:ptCount val="7"/>
                <c:pt idx="0">
                  <c:v>178619643</c:v>
                </c:pt>
                <c:pt idx="1">
                  <c:v>221193331</c:v>
                </c:pt>
                <c:pt idx="2">
                  <c:v>176217437</c:v>
                </c:pt>
                <c:pt idx="3">
                  <c:v>155449004</c:v>
                </c:pt>
                <c:pt idx="4">
                  <c:v>181817666</c:v>
                </c:pt>
                <c:pt idx="5">
                  <c:v>199748057</c:v>
                </c:pt>
                <c:pt idx="6">
                  <c:v>142884126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50-4F93-AB37-B7E483360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613487"/>
        <c:axId val="1749606287"/>
      </c:barChart>
      <c:catAx>
        <c:axId val="174961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06287"/>
        <c:crosses val="autoZero"/>
        <c:auto val="1"/>
        <c:lblAlgn val="ctr"/>
        <c:lblOffset val="100"/>
        <c:noMultiLvlLbl val="0"/>
      </c:catAx>
      <c:valAx>
        <c:axId val="17496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</xdr:rowOff>
    </xdr:from>
    <xdr:to>
      <xdr:col>5</xdr:col>
      <xdr:colOff>106680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97579-B484-0E72-B064-4C0D612FF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59.486046296297" createdVersion="8" refreshedVersion="8" minRefreshableVersion="3" recordCount="550" xr:uid="{23CD7DB2-2010-4A3C-A159-979FD12EBA71}">
  <cacheSource type="worksheet">
    <worksheetSource name="Table2"/>
  </cacheSource>
  <cacheFields count="12">
    <cacheField name="Order ID" numFmtId="0">
      <sharedItems/>
    </cacheField>
    <cacheField name="Customer Name" numFmtId="0">
      <sharedItems/>
    </cacheField>
    <cacheField name="Phone Number" numFmtId="0">
      <sharedItems/>
    </cacheField>
    <cacheField name="City" numFmtId="0">
      <sharedItems containsBlank="1" count="8">
        <s v="Makassar"/>
        <s v="Denpasar"/>
        <s v="Malang"/>
        <s v="Bandung"/>
        <s v="Surabaya"/>
        <s v="Yogyakarta"/>
        <s v="Jakarta"/>
        <m u="1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164">
      <sharedItems containsSemiMixedTypes="0" containsString="0" containsNumber="1" containsInteger="1" minValue="50591" maxValue="1494240"/>
    </cacheField>
    <cacheField name="Total Price" numFmtId="164">
      <sharedItems containsSemiMixedTypes="0" containsString="0" containsNumber="1" containsInteger="1" minValue="72457" maxValue="7471200"/>
    </cacheField>
    <cacheField name="Order Date" numFmtId="0">
      <sharedItems/>
    </cacheField>
    <cacheField name="Payment Status" numFmtId="0">
      <sharedItems/>
    </cacheField>
    <cacheField name="Shipping Status" numFmtId="0">
      <sharedItems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ORD0001"/>
    <s v="Customer 1"/>
    <s v="082388565497"/>
    <x v="0"/>
    <s v="Monitor"/>
    <n v="3"/>
    <n v="674193"/>
    <n v="2022579"/>
    <s v="2025-04-26"/>
    <s v="Pending"/>
    <s v="Processing"/>
    <s v="High"/>
  </r>
  <r>
    <s v="ORD0002"/>
    <s v="Customer 2"/>
    <s v="081848551482"/>
    <x v="0"/>
    <s v="Monitor"/>
    <n v="3"/>
    <n v="1023919"/>
    <n v="3071757"/>
    <s v="2025-03-31"/>
    <s v="Paid"/>
    <s v="Processing"/>
    <s v="High"/>
  </r>
  <r>
    <s v="ORD0003"/>
    <s v="Customer 3"/>
    <s v="082216099483"/>
    <x v="1"/>
    <s v="Monitor"/>
    <n v="3"/>
    <n v="1467476"/>
    <n v="4402428"/>
    <s v="2025-07-02"/>
    <s v="Paid"/>
    <s v="Shipped"/>
    <s v="High"/>
  </r>
  <r>
    <s v="ORD0004"/>
    <s v="Customer 4"/>
    <s v="089924643743"/>
    <x v="2"/>
    <s v="Mouse"/>
    <n v="4"/>
    <n v="151320"/>
    <n v="605280"/>
    <s v="2025-05-23"/>
    <s v="Paid"/>
    <s v="Shipped"/>
    <s v="Medium"/>
  </r>
  <r>
    <s v="ORD0005"/>
    <s v="Customer 5"/>
    <s v="086464221721"/>
    <x v="3"/>
    <s v="Headset"/>
    <n v="5"/>
    <n v="1077366"/>
    <n v="5386830"/>
    <s v="2025-08-26"/>
    <s v="Pending"/>
    <s v="Processing"/>
    <s v="High"/>
  </r>
  <r>
    <s v="ORD0006"/>
    <s v="Customer 6"/>
    <s v="088440453226"/>
    <x v="3"/>
    <s v="Monitor"/>
    <n v="2"/>
    <n v="1123360"/>
    <n v="2246720"/>
    <s v="2025-11-08"/>
    <s v="Paid"/>
    <s v="Delivered"/>
    <s v="High"/>
  </r>
  <r>
    <s v="ORD0007"/>
    <s v="Customer 7"/>
    <s v="083081554796"/>
    <x v="4"/>
    <s v="Headset"/>
    <n v="5"/>
    <n v="575280"/>
    <n v="2876400"/>
    <s v="2025-05-07"/>
    <s v="Paid"/>
    <s v="Delivered"/>
    <s v="High"/>
  </r>
  <r>
    <s v="ORD0008"/>
    <s v="Customer 8"/>
    <s v="087198170273"/>
    <x v="3"/>
    <s v="Keyboard"/>
    <n v="5"/>
    <n v="358911"/>
    <n v="1794555"/>
    <s v="2025-11-13"/>
    <s v="Paid"/>
    <s v="Processing"/>
    <s v="Medium"/>
  </r>
  <r>
    <s v="ORD0009"/>
    <s v="Customer 9"/>
    <s v="086599263745"/>
    <x v="2"/>
    <s v="Monitor"/>
    <n v="5"/>
    <n v="958002"/>
    <n v="4790010"/>
    <s v="2025-05-05"/>
    <s v="Paid"/>
    <s v="Delivered"/>
    <s v="High"/>
  </r>
  <r>
    <s v="ORD0010"/>
    <s v="Customer 10"/>
    <s v="086260729673"/>
    <x v="5"/>
    <s v="Mouse"/>
    <n v="2"/>
    <n v="997510"/>
    <n v="1995020"/>
    <s v="2025-11-16"/>
    <s v="Paid"/>
    <s v="Shipped"/>
    <s v="Medium"/>
  </r>
  <r>
    <s v="ORD0011"/>
    <s v="Customer 11"/>
    <s v="082824335462"/>
    <x v="4"/>
    <s v="SSD"/>
    <n v="5"/>
    <n v="798174"/>
    <n v="3990870"/>
    <s v="2025-04-02"/>
    <s v="Paid"/>
    <s v="Processing"/>
    <s v="High"/>
  </r>
  <r>
    <s v="ORD0012"/>
    <s v="Customer 12"/>
    <s v="085905902658"/>
    <x v="3"/>
    <s v="USB Cable"/>
    <n v="1"/>
    <n v="636508"/>
    <n v="636508"/>
    <s v="2025-06-29"/>
    <s v="Pending"/>
    <s v="Shipped"/>
    <s v="Medium"/>
  </r>
  <r>
    <s v="ORD0013"/>
    <s v="Customer 13"/>
    <s v="089504255925"/>
    <x v="3"/>
    <s v="USB Cable"/>
    <n v="2"/>
    <n v="872953"/>
    <n v="1745906"/>
    <s v="2025-09-18"/>
    <s v="Pending"/>
    <s v="Processing"/>
    <s v="Medium"/>
  </r>
  <r>
    <s v="ORD0014"/>
    <s v="Customer 14"/>
    <s v="086049862364"/>
    <x v="2"/>
    <s v="Headset"/>
    <n v="1"/>
    <n v="652289"/>
    <n v="652289"/>
    <s v="2025-02-25"/>
    <s v="Pending"/>
    <s v="Processing"/>
    <s v="Medium"/>
  </r>
  <r>
    <s v="ORD0015"/>
    <s v="Customer 15"/>
    <s v="087008987391"/>
    <x v="5"/>
    <s v="Mouse"/>
    <n v="5"/>
    <n v="650695"/>
    <n v="3253475"/>
    <s v="2025-02-11"/>
    <s v="Paid"/>
    <s v="Delivered"/>
    <s v="High"/>
  </r>
  <r>
    <s v="ORD0016"/>
    <s v="Customer 16"/>
    <s v="084614074320"/>
    <x v="2"/>
    <s v="USB Cable"/>
    <n v="4"/>
    <n v="1256096"/>
    <n v="5024384"/>
    <s v="2025-10-05"/>
    <s v="Pending"/>
    <s v="Processing"/>
    <s v="High"/>
  </r>
  <r>
    <s v="ORD0017"/>
    <s v="Customer 17"/>
    <s v="083034793205"/>
    <x v="5"/>
    <s v="Monitor"/>
    <n v="5"/>
    <n v="422027"/>
    <n v="2110135"/>
    <s v="2025-03-11"/>
    <s v="Paid"/>
    <s v="Processing"/>
    <s v="High"/>
  </r>
  <r>
    <s v="ORD0018"/>
    <s v="Customer 18"/>
    <s v="087808531500"/>
    <x v="0"/>
    <s v="SSD"/>
    <n v="2"/>
    <n v="671000"/>
    <n v="1342000"/>
    <s v="2025-02-06"/>
    <s v="Pending"/>
    <s v="Delivered"/>
    <s v="Medium"/>
  </r>
  <r>
    <s v="ORD0019"/>
    <s v="Customer 19"/>
    <s v="088620134501"/>
    <x v="5"/>
    <s v="Keyboard"/>
    <n v="2"/>
    <n v="468853"/>
    <n v="937706"/>
    <s v="2025-10-06"/>
    <s v="Pending"/>
    <s v="Processing"/>
    <s v="Medium"/>
  </r>
  <r>
    <s v="ORD0020"/>
    <s v="Customer 20"/>
    <s v="085577150609"/>
    <x v="1"/>
    <s v="SSD"/>
    <n v="1"/>
    <n v="1490602"/>
    <n v="1490602"/>
    <s v="2025-11-09"/>
    <s v="Pending"/>
    <s v="Shipped"/>
    <s v="Medium"/>
  </r>
  <r>
    <s v="ORD0021"/>
    <s v="Customer 21"/>
    <s v="088274962972"/>
    <x v="1"/>
    <s v="USB Cable"/>
    <n v="5"/>
    <n v="920301"/>
    <n v="4601505"/>
    <s v="2025-08-17"/>
    <s v="Pending"/>
    <s v="Processing"/>
    <s v="High"/>
  </r>
  <r>
    <s v="ORD0022"/>
    <s v="Customer 22"/>
    <s v="085382451900"/>
    <x v="4"/>
    <s v="Keyboard"/>
    <n v="3"/>
    <n v="415413"/>
    <n v="1246239"/>
    <s v="2025-02-08"/>
    <s v="Paid"/>
    <s v="Processing"/>
    <s v="Medium"/>
  </r>
  <r>
    <s v="ORD0023"/>
    <s v="Customer 23"/>
    <s v="083526903250"/>
    <x v="5"/>
    <s v="Mouse"/>
    <n v="1"/>
    <n v="187035"/>
    <n v="187035"/>
    <s v="2025-11-06"/>
    <s v="Pending"/>
    <s v="Shipped"/>
    <s v="Low"/>
  </r>
  <r>
    <s v="ORD0024"/>
    <s v="Customer 24"/>
    <s v="088743981050"/>
    <x v="6"/>
    <s v="SSD"/>
    <n v="4"/>
    <n v="1328292"/>
    <n v="5313168"/>
    <s v="2025-12-29"/>
    <s v="Paid"/>
    <s v="Processing"/>
    <s v="High"/>
  </r>
  <r>
    <s v="ORD0025"/>
    <s v="Customer 25"/>
    <s v="083386379792"/>
    <x v="1"/>
    <s v="Mouse"/>
    <n v="1"/>
    <n v="782485"/>
    <n v="782485"/>
    <s v="2025-07-01"/>
    <s v="Paid"/>
    <s v="Delivered"/>
    <s v="Medium"/>
  </r>
  <r>
    <s v="ORD0026"/>
    <s v="Customer 26"/>
    <s v="087249335028"/>
    <x v="6"/>
    <s v="Mouse"/>
    <n v="4"/>
    <n v="814328"/>
    <n v="3257312"/>
    <s v="2025-10-03"/>
    <s v="Pending"/>
    <s v="Processing"/>
    <s v="High"/>
  </r>
  <r>
    <s v="ORD0027"/>
    <s v="Customer 27"/>
    <s v="087256569090"/>
    <x v="2"/>
    <s v="USB Cable"/>
    <n v="4"/>
    <n v="903544"/>
    <n v="3614176"/>
    <s v="2025-03-22"/>
    <s v="Pending"/>
    <s v="Shipped"/>
    <s v="High"/>
  </r>
  <r>
    <s v="ORD0028"/>
    <s v="Customer 28"/>
    <s v="084527806077"/>
    <x v="0"/>
    <s v="Keyboard"/>
    <n v="2"/>
    <n v="195223"/>
    <n v="390446"/>
    <s v="2025-09-20"/>
    <s v="Pending"/>
    <s v="Shipped"/>
    <s v="Low"/>
  </r>
  <r>
    <s v="ORD0029"/>
    <s v="Customer 29"/>
    <s v="086171063327"/>
    <x v="0"/>
    <s v="SSD"/>
    <n v="3"/>
    <n v="1069521"/>
    <n v="3208563"/>
    <s v="2025-06-27"/>
    <s v="Paid"/>
    <s v="Shipped"/>
    <s v="High"/>
  </r>
  <r>
    <s v="ORD0030"/>
    <s v="Customer 30"/>
    <s v="084193348358"/>
    <x v="6"/>
    <s v="USB Cable"/>
    <n v="5"/>
    <n v="1245793"/>
    <n v="6228965"/>
    <s v="2025-09-12"/>
    <s v="Paid"/>
    <s v="Shipped"/>
    <s v="High"/>
  </r>
  <r>
    <s v="ORD0031"/>
    <s v="Customer 31"/>
    <s v="083739075511"/>
    <x v="6"/>
    <s v="Headset"/>
    <n v="3"/>
    <n v="1285455"/>
    <n v="3856365"/>
    <s v="2025-10-04"/>
    <s v="Pending"/>
    <s v="Shipped"/>
    <s v="High"/>
  </r>
  <r>
    <s v="ORD0032"/>
    <s v="Customer 32"/>
    <s v="084270755556"/>
    <x v="3"/>
    <s v="Monitor"/>
    <n v="4"/>
    <n v="681130"/>
    <n v="2724520"/>
    <s v="2025-06-29"/>
    <s v="Paid"/>
    <s v="Processing"/>
    <s v="High"/>
  </r>
  <r>
    <s v="ORD0033"/>
    <s v="Customer 33"/>
    <s v="082016485748"/>
    <x v="0"/>
    <s v="Mouse"/>
    <n v="4"/>
    <n v="846902"/>
    <n v="3387608"/>
    <s v="2025-01-01"/>
    <s v="Pending"/>
    <s v="Delivered"/>
    <s v="High"/>
  </r>
  <r>
    <s v="ORD0034"/>
    <s v="Customer 34"/>
    <s v="081350140364"/>
    <x v="5"/>
    <s v="Laptop Stand"/>
    <n v="4"/>
    <n v="129748"/>
    <n v="518992"/>
    <s v="2025-11-18"/>
    <s v="Paid"/>
    <s v="Delivered"/>
    <s v="Medium"/>
  </r>
  <r>
    <s v="ORD0035"/>
    <s v="Customer 35"/>
    <s v="087939844202"/>
    <x v="6"/>
    <s v="Mouse"/>
    <n v="5"/>
    <n v="1408911"/>
    <n v="7044555"/>
    <s v="2025-07-08"/>
    <s v="Pending"/>
    <s v="Processing"/>
    <s v="High"/>
  </r>
  <r>
    <s v="ORD0036"/>
    <s v="Customer 36"/>
    <s v="082729254666"/>
    <x v="0"/>
    <s v="SSD"/>
    <n v="1"/>
    <n v="845055"/>
    <n v="845055"/>
    <s v="2025-05-17"/>
    <s v="Paid"/>
    <s v="Delivered"/>
    <s v="Medium"/>
  </r>
  <r>
    <s v="ORD0037"/>
    <s v="Customer 37"/>
    <s v="083715375564"/>
    <x v="4"/>
    <s v="Headset"/>
    <n v="1"/>
    <n v="77599"/>
    <n v="77599"/>
    <s v="2025-06-18"/>
    <s v="Pending"/>
    <s v="Processing"/>
    <s v="Low"/>
  </r>
  <r>
    <s v="ORD0038"/>
    <s v="Customer 38"/>
    <s v="082789891153"/>
    <x v="3"/>
    <s v="Laptop Stand"/>
    <n v="1"/>
    <n v="125252"/>
    <n v="125252"/>
    <s v="2025-12-10"/>
    <s v="Paid"/>
    <s v="Delivered"/>
    <s v="Low"/>
  </r>
  <r>
    <s v="ORD0039"/>
    <s v="Customer 39"/>
    <s v="086405947064"/>
    <x v="4"/>
    <s v="SSD"/>
    <n v="4"/>
    <n v="1369725"/>
    <n v="5478900"/>
    <s v="2025-09-10"/>
    <s v="Paid"/>
    <s v="Delivered"/>
    <s v="High"/>
  </r>
  <r>
    <s v="ORD0040"/>
    <s v="Customer 40"/>
    <s v="088230359493"/>
    <x v="4"/>
    <s v="Mouse"/>
    <n v="1"/>
    <n v="372781"/>
    <n v="372781"/>
    <s v="2025-02-12"/>
    <s v="Paid"/>
    <s v="Shipped"/>
    <s v="Low"/>
  </r>
  <r>
    <s v="ORD0041"/>
    <s v="Customer 41"/>
    <s v="082741695654"/>
    <x v="1"/>
    <s v="Monitor"/>
    <n v="2"/>
    <n v="527594"/>
    <n v="1055188"/>
    <s v="2025-11-12"/>
    <s v="Pending"/>
    <s v="Processing"/>
    <s v="Medium"/>
  </r>
  <r>
    <s v="ORD0042"/>
    <s v="Customer 42"/>
    <s v="082876227728"/>
    <x v="1"/>
    <s v="Headset"/>
    <n v="1"/>
    <n v="1456494"/>
    <n v="1456494"/>
    <s v="2025-07-17"/>
    <s v="Pending"/>
    <s v="Shipped"/>
    <s v="Medium"/>
  </r>
  <r>
    <s v="ORD0043"/>
    <s v="Customer 43"/>
    <s v="089702483468"/>
    <x v="5"/>
    <s v="Keyboard"/>
    <n v="2"/>
    <n v="126732"/>
    <n v="253464"/>
    <s v="2025-05-14"/>
    <s v="Pending"/>
    <s v="Delivered"/>
    <s v="Low"/>
  </r>
  <r>
    <s v="ORD0044"/>
    <s v="Customer 44"/>
    <s v="081906024624"/>
    <x v="1"/>
    <s v="SSD"/>
    <n v="2"/>
    <n v="568812"/>
    <n v="1137624"/>
    <s v="2025-10-02"/>
    <s v="Pending"/>
    <s v="Processing"/>
    <s v="Medium"/>
  </r>
  <r>
    <s v="ORD0045"/>
    <s v="Customer 45"/>
    <s v="089783107439"/>
    <x v="6"/>
    <s v="Monitor"/>
    <n v="4"/>
    <n v="809861"/>
    <n v="3239444"/>
    <s v="2025-08-02"/>
    <s v="Pending"/>
    <s v="Processing"/>
    <s v="High"/>
  </r>
  <r>
    <s v="ORD0046"/>
    <s v="Customer 46"/>
    <s v="085470952347"/>
    <x v="3"/>
    <s v="Monitor"/>
    <n v="1"/>
    <n v="517473"/>
    <n v="517473"/>
    <s v="2025-05-15"/>
    <s v="Paid"/>
    <s v="Processing"/>
    <s v="Medium"/>
  </r>
  <r>
    <s v="ORD0047"/>
    <s v="Customer 47"/>
    <s v="087114736979"/>
    <x v="4"/>
    <s v="Headset"/>
    <n v="2"/>
    <n v="306741"/>
    <n v="613482"/>
    <s v="2025-08-03"/>
    <s v="Paid"/>
    <s v="Processing"/>
    <s v="Medium"/>
  </r>
  <r>
    <s v="ORD0048"/>
    <s v="Customer 48"/>
    <s v="086376101114"/>
    <x v="3"/>
    <s v="Laptop Stand"/>
    <n v="3"/>
    <n v="1486059"/>
    <n v="4458177"/>
    <s v="2025-10-21"/>
    <s v="Paid"/>
    <s v="Shipped"/>
    <s v="High"/>
  </r>
  <r>
    <s v="ORD0049"/>
    <s v="Customer 49"/>
    <s v="083755776469"/>
    <x v="5"/>
    <s v="Laptop Stand"/>
    <n v="4"/>
    <n v="580001"/>
    <n v="2320004"/>
    <s v="2025-04-18"/>
    <s v="Pending"/>
    <s v="Processing"/>
    <s v="High"/>
  </r>
  <r>
    <s v="ORD0050"/>
    <s v="Customer 50"/>
    <s v="082858440782"/>
    <x v="1"/>
    <s v="Keyboard"/>
    <n v="3"/>
    <n v="595246"/>
    <n v="1785738"/>
    <s v="2025-06-08"/>
    <s v="Pending"/>
    <s v="Delivered"/>
    <s v="Medium"/>
  </r>
  <r>
    <s v="ORD0051"/>
    <s v="Customer 51"/>
    <s v="089375532477"/>
    <x v="3"/>
    <s v="USB Cable"/>
    <n v="5"/>
    <n v="437963"/>
    <n v="2189815"/>
    <s v="2025-11-17"/>
    <s v="Paid"/>
    <s v="Shipped"/>
    <s v="High"/>
  </r>
  <r>
    <s v="ORD0052"/>
    <s v="Customer 52"/>
    <s v="084762824957"/>
    <x v="2"/>
    <s v="Monitor"/>
    <n v="5"/>
    <n v="231290"/>
    <n v="1156450"/>
    <s v="2025-12-29"/>
    <s v="Paid"/>
    <s v="Delivered"/>
    <s v="Medium"/>
  </r>
  <r>
    <s v="ORD0053"/>
    <s v="Customer 53"/>
    <s v="086353594689"/>
    <x v="4"/>
    <s v="USB Cable"/>
    <n v="3"/>
    <n v="1380136"/>
    <n v="4140408"/>
    <s v="2025-02-03"/>
    <s v="Pending"/>
    <s v="Delivered"/>
    <s v="High"/>
  </r>
  <r>
    <s v="ORD0054"/>
    <s v="Customer 54"/>
    <s v="089820459100"/>
    <x v="1"/>
    <s v="Keyboard"/>
    <n v="3"/>
    <n v="1061925"/>
    <n v="3185775"/>
    <s v="2025-10-26"/>
    <s v="Paid"/>
    <s v="Shipped"/>
    <s v="High"/>
  </r>
  <r>
    <s v="ORD0055"/>
    <s v="Customer 55"/>
    <s v="089242699315"/>
    <x v="1"/>
    <s v="Laptop Stand"/>
    <n v="1"/>
    <n v="525568"/>
    <n v="525568"/>
    <s v="2025-04-26"/>
    <s v="Pending"/>
    <s v="Shipped"/>
    <s v="Medium"/>
  </r>
  <r>
    <s v="ORD0056"/>
    <s v="Customer 56"/>
    <s v="081292468210"/>
    <x v="5"/>
    <s v="Monitor"/>
    <n v="5"/>
    <n v="1184132"/>
    <n v="5920660"/>
    <s v="2025-07-17"/>
    <s v="Paid"/>
    <s v="Processing"/>
    <s v="High"/>
  </r>
  <r>
    <s v="ORD0057"/>
    <s v="Customer 57"/>
    <s v="083634648238"/>
    <x v="4"/>
    <s v="SSD"/>
    <n v="4"/>
    <n v="1069663"/>
    <n v="4278652"/>
    <s v="2025-11-13"/>
    <s v="Paid"/>
    <s v="Processing"/>
    <s v="High"/>
  </r>
  <r>
    <s v="ORD0058"/>
    <s v="Customer 58"/>
    <s v="089065134668"/>
    <x v="0"/>
    <s v="Mouse"/>
    <n v="3"/>
    <n v="1437729"/>
    <n v="4313187"/>
    <s v="2025-05-18"/>
    <s v="Pending"/>
    <s v="Delivered"/>
    <s v="High"/>
  </r>
  <r>
    <s v="ORD0059"/>
    <s v="Customer 59"/>
    <s v="081187705737"/>
    <x v="5"/>
    <s v="Mouse"/>
    <n v="3"/>
    <n v="939010"/>
    <n v="2817030"/>
    <s v="2025-10-23"/>
    <s v="Pending"/>
    <s v="Processing"/>
    <s v="High"/>
  </r>
  <r>
    <s v="ORD0060"/>
    <s v="Customer 60"/>
    <s v="089366158913"/>
    <x v="6"/>
    <s v="Headset"/>
    <n v="2"/>
    <n v="1308849"/>
    <n v="2617698"/>
    <s v="2025-05-30"/>
    <s v="Paid"/>
    <s v="Processing"/>
    <s v="High"/>
  </r>
  <r>
    <s v="ORD0061"/>
    <s v="Customer 61"/>
    <s v="089957632631"/>
    <x v="2"/>
    <s v="Monitor"/>
    <n v="3"/>
    <n v="1365464"/>
    <n v="4096392"/>
    <s v="2025-11-25"/>
    <s v="Pending"/>
    <s v="Delivered"/>
    <s v="High"/>
  </r>
  <r>
    <s v="ORD0062"/>
    <s v="Customer 62"/>
    <s v="085140656216"/>
    <x v="5"/>
    <s v="USB Cable"/>
    <n v="1"/>
    <n v="1193391"/>
    <n v="1193391"/>
    <s v="2025-06-15"/>
    <s v="Pending"/>
    <s v="Delivered"/>
    <s v="Medium"/>
  </r>
  <r>
    <s v="ORD0063"/>
    <s v="Customer 63"/>
    <s v="082544246574"/>
    <x v="6"/>
    <s v="Headset"/>
    <n v="2"/>
    <n v="497564"/>
    <n v="995128"/>
    <s v="2025-04-09"/>
    <s v="Paid"/>
    <s v="Processing"/>
    <s v="Medium"/>
  </r>
  <r>
    <s v="ORD0064"/>
    <s v="Customer 64"/>
    <s v="087152452563"/>
    <x v="0"/>
    <s v="Keyboard"/>
    <n v="4"/>
    <n v="367773"/>
    <n v="1471092"/>
    <s v="2025-09-06"/>
    <s v="Paid"/>
    <s v="Delivered"/>
    <s v="Medium"/>
  </r>
  <r>
    <s v="ORD0065"/>
    <s v="Customer 65"/>
    <s v="084138098287"/>
    <x v="2"/>
    <s v="SSD"/>
    <n v="1"/>
    <n v="1323915"/>
    <n v="1323915"/>
    <s v="2025-12-24"/>
    <s v="Paid"/>
    <s v="Delivered"/>
    <s v="Medium"/>
  </r>
  <r>
    <s v="ORD0066"/>
    <s v="Customer 66"/>
    <s v="086265695093"/>
    <x v="2"/>
    <s v="USB Cable"/>
    <n v="4"/>
    <n v="1064161"/>
    <n v="4256644"/>
    <s v="2025-11-14"/>
    <s v="Pending"/>
    <s v="Shipped"/>
    <s v="High"/>
  </r>
  <r>
    <s v="ORD0067"/>
    <s v="Customer 67"/>
    <s v="082655067528"/>
    <x v="5"/>
    <s v="Laptop Stand"/>
    <n v="5"/>
    <n v="404727"/>
    <n v="2023635"/>
    <s v="2025-11-22"/>
    <s v="Paid"/>
    <s v="Delivered"/>
    <s v="High"/>
  </r>
  <r>
    <s v="ORD0068"/>
    <s v="Customer 68"/>
    <s v="088901143781"/>
    <x v="1"/>
    <s v="Headset"/>
    <n v="4"/>
    <n v="804108"/>
    <n v="3216432"/>
    <s v="2025-07-03"/>
    <s v="Paid"/>
    <s v="Delivered"/>
    <s v="High"/>
  </r>
  <r>
    <s v="ORD0069"/>
    <s v="Customer 69"/>
    <s v="086850972135"/>
    <x v="5"/>
    <s v="Headset"/>
    <n v="1"/>
    <n v="1142636"/>
    <n v="1142636"/>
    <s v="2025-03-10"/>
    <s v="Paid"/>
    <s v="Shipped"/>
    <s v="Medium"/>
  </r>
  <r>
    <s v="ORD0070"/>
    <s v="Customer 70"/>
    <s v="088836277825"/>
    <x v="4"/>
    <s v="Monitor"/>
    <n v="5"/>
    <n v="955969"/>
    <n v="4779845"/>
    <s v="2025-01-12"/>
    <s v="Pending"/>
    <s v="Delivered"/>
    <s v="High"/>
  </r>
  <r>
    <s v="ORD0071"/>
    <s v="Customer 71"/>
    <s v="084333661429"/>
    <x v="5"/>
    <s v="Monitor"/>
    <n v="1"/>
    <n v="1470242"/>
    <n v="1470242"/>
    <s v="2025-05-08"/>
    <s v="Paid"/>
    <s v="Shipped"/>
    <s v="Medium"/>
  </r>
  <r>
    <s v="ORD0072"/>
    <s v="Customer 72"/>
    <s v="089562163936"/>
    <x v="4"/>
    <s v="Mouse"/>
    <n v="1"/>
    <n v="1084363"/>
    <n v="1084363"/>
    <s v="2025-10-29"/>
    <s v="Paid"/>
    <s v="Delivered"/>
    <s v="Medium"/>
  </r>
  <r>
    <s v="ORD0073"/>
    <s v="Customer 73"/>
    <s v="086746403389"/>
    <x v="1"/>
    <s v="Mouse"/>
    <n v="3"/>
    <n v="716096"/>
    <n v="2148288"/>
    <s v="2025-02-05"/>
    <s v="Paid"/>
    <s v="Processing"/>
    <s v="High"/>
  </r>
  <r>
    <s v="ORD0074"/>
    <s v="Customer 74"/>
    <s v="089618779209"/>
    <x v="5"/>
    <s v="Headset"/>
    <n v="4"/>
    <n v="1478618"/>
    <n v="5914472"/>
    <s v="2025-07-31"/>
    <s v="Paid"/>
    <s v="Shipped"/>
    <s v="High"/>
  </r>
  <r>
    <s v="ORD0075"/>
    <s v="Customer 75"/>
    <s v="082814696498"/>
    <x v="5"/>
    <s v="Headset"/>
    <n v="5"/>
    <n v="699433"/>
    <n v="3497165"/>
    <s v="2025-01-23"/>
    <s v="Pending"/>
    <s v="Delivered"/>
    <s v="High"/>
  </r>
  <r>
    <s v="ORD0076"/>
    <s v="Customer 76"/>
    <s v="084005055026"/>
    <x v="4"/>
    <s v="Monitor"/>
    <n v="5"/>
    <n v="229733"/>
    <n v="1148665"/>
    <s v="2025-04-18"/>
    <s v="Pending"/>
    <s v="Processing"/>
    <s v="Medium"/>
  </r>
  <r>
    <s v="ORD0077"/>
    <s v="Customer 77"/>
    <s v="082435463584"/>
    <x v="3"/>
    <s v="Monitor"/>
    <n v="4"/>
    <n v="974542"/>
    <n v="3898168"/>
    <s v="2025-11-21"/>
    <s v="Pending"/>
    <s v="Delivered"/>
    <s v="High"/>
  </r>
  <r>
    <s v="ORD0078"/>
    <s v="Customer 78"/>
    <s v="084923839968"/>
    <x v="1"/>
    <s v="USB Cable"/>
    <n v="3"/>
    <n v="840725"/>
    <n v="2522175"/>
    <s v="2025-02-21"/>
    <s v="Pending"/>
    <s v="Processing"/>
    <s v="High"/>
  </r>
  <r>
    <s v="ORD0079"/>
    <s v="Customer 79"/>
    <s v="089339865487"/>
    <x v="6"/>
    <s v="Laptop Stand"/>
    <n v="3"/>
    <n v="632607"/>
    <n v="1897821"/>
    <s v="2025-11-02"/>
    <s v="Paid"/>
    <s v="Processing"/>
    <s v="Medium"/>
  </r>
  <r>
    <s v="ORD0080"/>
    <s v="Customer 80"/>
    <s v="086038294723"/>
    <x v="0"/>
    <s v="Laptop Stand"/>
    <n v="3"/>
    <n v="1431667"/>
    <n v="4295001"/>
    <s v="2025-10-20"/>
    <s v="Pending"/>
    <s v="Delivered"/>
    <s v="High"/>
  </r>
  <r>
    <s v="ORD0081"/>
    <s v="Customer 81"/>
    <s v="081038513239"/>
    <x v="5"/>
    <s v="SSD"/>
    <n v="2"/>
    <n v="671568"/>
    <n v="1343136"/>
    <s v="2025-04-23"/>
    <s v="Pending"/>
    <s v="Processing"/>
    <s v="Medium"/>
  </r>
  <r>
    <s v="ORD0082"/>
    <s v="Customer 82"/>
    <s v="087683412728"/>
    <x v="1"/>
    <s v="Laptop Stand"/>
    <n v="1"/>
    <n v="1309936"/>
    <n v="1309936"/>
    <s v="2025-09-29"/>
    <s v="Pending"/>
    <s v="Delivered"/>
    <s v="Medium"/>
  </r>
  <r>
    <s v="ORD0083"/>
    <s v="Customer 83"/>
    <s v="084086869028"/>
    <x v="5"/>
    <s v="SSD"/>
    <n v="1"/>
    <n v="364119"/>
    <n v="364119"/>
    <s v="2025-09-30"/>
    <s v="Paid"/>
    <s v="Delivered"/>
    <s v="Low"/>
  </r>
  <r>
    <s v="ORD0084"/>
    <s v="Customer 84"/>
    <s v="084009713423"/>
    <x v="3"/>
    <s v="Monitor"/>
    <n v="2"/>
    <n v="522088"/>
    <n v="1044176"/>
    <s v="2025-01-15"/>
    <s v="Pending"/>
    <s v="Processing"/>
    <s v="Medium"/>
  </r>
  <r>
    <s v="ORD0085"/>
    <s v="Customer 85"/>
    <s v="082356466763"/>
    <x v="4"/>
    <s v="Mouse"/>
    <n v="1"/>
    <n v="422446"/>
    <n v="422446"/>
    <s v="2025-09-15"/>
    <s v="Pending"/>
    <s v="Delivered"/>
    <s v="Low"/>
  </r>
  <r>
    <s v="ORD0086"/>
    <s v="Customer 86"/>
    <s v="081947191221"/>
    <x v="4"/>
    <s v="SSD"/>
    <n v="1"/>
    <n v="1396083"/>
    <n v="1396083"/>
    <s v="2025-10-20"/>
    <s v="Pending"/>
    <s v="Delivered"/>
    <s v="Medium"/>
  </r>
  <r>
    <s v="ORD0087"/>
    <s v="Customer 87"/>
    <s v="089481658289"/>
    <x v="3"/>
    <s v="Headset"/>
    <n v="1"/>
    <n v="1441788"/>
    <n v="1441788"/>
    <s v="2025-02-16"/>
    <s v="Pending"/>
    <s v="Processing"/>
    <s v="Medium"/>
  </r>
  <r>
    <s v="ORD0088"/>
    <s v="Customer 88"/>
    <s v="082139699809"/>
    <x v="4"/>
    <s v="Headset"/>
    <n v="3"/>
    <n v="989404"/>
    <n v="2968212"/>
    <s v="2025-06-23"/>
    <s v="Paid"/>
    <s v="Processing"/>
    <s v="High"/>
  </r>
  <r>
    <s v="ORD0089"/>
    <s v="Customer 89"/>
    <s v="083046301608"/>
    <x v="5"/>
    <s v="Laptop Stand"/>
    <n v="3"/>
    <n v="1060352"/>
    <n v="3181056"/>
    <s v="2025-02-01"/>
    <s v="Paid"/>
    <s v="Delivered"/>
    <s v="High"/>
  </r>
  <r>
    <s v="ORD0090"/>
    <s v="Customer 90"/>
    <s v="086678856076"/>
    <x v="6"/>
    <s v="Monitor"/>
    <n v="4"/>
    <n v="923155"/>
    <n v="3692620"/>
    <s v="2025-12-06"/>
    <s v="Pending"/>
    <s v="Shipped"/>
    <s v="High"/>
  </r>
  <r>
    <s v="ORD0091"/>
    <s v="Customer 91"/>
    <s v="084347696257"/>
    <x v="5"/>
    <s v="Keyboard"/>
    <n v="3"/>
    <n v="251413"/>
    <n v="754239"/>
    <s v="2025-12-03"/>
    <s v="Pending"/>
    <s v="Delivered"/>
    <s v="Medium"/>
  </r>
  <r>
    <s v="ORD0092"/>
    <s v="Customer 92"/>
    <s v="087878020455"/>
    <x v="2"/>
    <s v="Laptop Stand"/>
    <n v="5"/>
    <n v="410419"/>
    <n v="2052095"/>
    <s v="2025-06-03"/>
    <s v="Pending"/>
    <s v="Processing"/>
    <s v="High"/>
  </r>
  <r>
    <s v="ORD0093"/>
    <s v="Customer 93"/>
    <s v="086207329957"/>
    <x v="0"/>
    <s v="Monitor"/>
    <n v="5"/>
    <n v="470924"/>
    <n v="2354620"/>
    <s v="2025-08-19"/>
    <s v="Paid"/>
    <s v="Processing"/>
    <s v="High"/>
  </r>
  <r>
    <s v="ORD0094"/>
    <s v="Customer 94"/>
    <s v="082814360683"/>
    <x v="5"/>
    <s v="USB Cable"/>
    <n v="5"/>
    <n v="1408725"/>
    <n v="7043625"/>
    <s v="2025-05-27"/>
    <s v="Paid"/>
    <s v="Processing"/>
    <s v="High"/>
  </r>
  <r>
    <s v="ORD0095"/>
    <s v="Customer 95"/>
    <s v="087707461762"/>
    <x v="2"/>
    <s v="Headset"/>
    <n v="5"/>
    <n v="175770"/>
    <n v="878850"/>
    <s v="2025-09-28"/>
    <s v="Paid"/>
    <s v="Shipped"/>
    <s v="Medium"/>
  </r>
  <r>
    <s v="ORD0096"/>
    <s v="Customer 96"/>
    <s v="083143314242"/>
    <x v="1"/>
    <s v="Keyboard"/>
    <n v="5"/>
    <n v="323754"/>
    <n v="1618770"/>
    <s v="2025-07-01"/>
    <s v="Paid"/>
    <s v="Delivered"/>
    <s v="Medium"/>
  </r>
  <r>
    <s v="ORD0097"/>
    <s v="Customer 97"/>
    <s v="086172367089"/>
    <x v="6"/>
    <s v="Keyboard"/>
    <n v="5"/>
    <n v="542842"/>
    <n v="2714210"/>
    <s v="2025-06-12"/>
    <s v="Pending"/>
    <s v="Processing"/>
    <s v="High"/>
  </r>
  <r>
    <s v="ORD0098"/>
    <s v="Customer 98"/>
    <s v="089623581865"/>
    <x v="1"/>
    <s v="USB Cable"/>
    <n v="2"/>
    <n v="1249164"/>
    <n v="2498328"/>
    <s v="2025-04-10"/>
    <s v="Pending"/>
    <s v="Delivered"/>
    <s v="High"/>
  </r>
  <r>
    <s v="ORD0099"/>
    <s v="Customer 99"/>
    <s v="082127046635"/>
    <x v="6"/>
    <s v="Monitor"/>
    <n v="1"/>
    <n v="775450"/>
    <n v="775450"/>
    <s v="2025-02-07"/>
    <s v="Pending"/>
    <s v="Shipped"/>
    <s v="Medium"/>
  </r>
  <r>
    <s v="ORD0100"/>
    <s v="Customer 100"/>
    <s v="086167582264"/>
    <x v="2"/>
    <s v="Mouse"/>
    <n v="3"/>
    <n v="285830"/>
    <n v="857490"/>
    <s v="2025-02-21"/>
    <s v="Pending"/>
    <s v="Processing"/>
    <s v="Medium"/>
  </r>
  <r>
    <s v="ORD0101"/>
    <s v="Customer 101"/>
    <s v="083077116042"/>
    <x v="0"/>
    <s v="Laptop Stand"/>
    <n v="3"/>
    <n v="624563"/>
    <n v="1873689"/>
    <s v="2025-01-16"/>
    <s v="Paid"/>
    <s v="Shipped"/>
    <s v="Medium"/>
  </r>
  <r>
    <s v="ORD0102"/>
    <s v="Customer 102"/>
    <s v="084051632105"/>
    <x v="1"/>
    <s v="Monitor"/>
    <n v="3"/>
    <n v="74925"/>
    <n v="224775"/>
    <s v="2025-04-01"/>
    <s v="Pending"/>
    <s v="Processing"/>
    <s v="Low"/>
  </r>
  <r>
    <s v="ORD0103"/>
    <s v="Customer 103"/>
    <s v="082036437291"/>
    <x v="0"/>
    <s v="Mouse"/>
    <n v="3"/>
    <n v="474415"/>
    <n v="1423245"/>
    <s v="2025-04-18"/>
    <s v="Paid"/>
    <s v="Shipped"/>
    <s v="Medium"/>
  </r>
  <r>
    <s v="ORD0104"/>
    <s v="Customer 104"/>
    <s v="089674317750"/>
    <x v="3"/>
    <s v="Headset"/>
    <n v="2"/>
    <n v="304333"/>
    <n v="608666"/>
    <s v="2025-11-24"/>
    <s v="Paid"/>
    <s v="Delivered"/>
    <s v="Medium"/>
  </r>
  <r>
    <s v="ORD0105"/>
    <s v="Customer 105"/>
    <s v="082553436904"/>
    <x v="1"/>
    <s v="USB Cable"/>
    <n v="4"/>
    <n v="226903"/>
    <n v="907612"/>
    <s v="2025-11-23"/>
    <s v="Paid"/>
    <s v="Processing"/>
    <s v="Medium"/>
  </r>
  <r>
    <s v="ORD0106"/>
    <s v="Customer 106"/>
    <s v="088730684195"/>
    <x v="4"/>
    <s v="Keyboard"/>
    <n v="1"/>
    <n v="595945"/>
    <n v="595945"/>
    <s v="2025-04-14"/>
    <s v="Paid"/>
    <s v="Shipped"/>
    <s v="Medium"/>
  </r>
  <r>
    <s v="ORD0107"/>
    <s v="Customer 107"/>
    <s v="088518424944"/>
    <x v="1"/>
    <s v="SSD"/>
    <n v="5"/>
    <n v="297727"/>
    <n v="1488635"/>
    <s v="2025-02-21"/>
    <s v="Paid"/>
    <s v="Shipped"/>
    <s v="Medium"/>
  </r>
  <r>
    <s v="ORD0108"/>
    <s v="Customer 108"/>
    <s v="089097633866"/>
    <x v="1"/>
    <s v="Laptop Stand"/>
    <n v="2"/>
    <n v="929746"/>
    <n v="1859492"/>
    <s v="2025-08-05"/>
    <s v="Paid"/>
    <s v="Delivered"/>
    <s v="Medium"/>
  </r>
  <r>
    <s v="ORD0109"/>
    <s v="Customer 109"/>
    <s v="086422436769"/>
    <x v="6"/>
    <s v="Laptop Stand"/>
    <n v="1"/>
    <n v="164216"/>
    <n v="164216"/>
    <s v="2025-01-01"/>
    <s v="Pending"/>
    <s v="Delivered"/>
    <s v="Low"/>
  </r>
  <r>
    <s v="ORD0110"/>
    <s v="Customer 110"/>
    <s v="083961755045"/>
    <x v="3"/>
    <s v="Headset"/>
    <n v="3"/>
    <n v="685144"/>
    <n v="2055432"/>
    <s v="2025-06-23"/>
    <s v="Paid"/>
    <s v="Processing"/>
    <s v="High"/>
  </r>
  <r>
    <s v="ORD0111"/>
    <s v="Customer 111"/>
    <s v="083802261849"/>
    <x v="3"/>
    <s v="Laptop Stand"/>
    <n v="3"/>
    <n v="1041796"/>
    <n v="3125388"/>
    <s v="2025-10-27"/>
    <s v="Pending"/>
    <s v="Delivered"/>
    <s v="High"/>
  </r>
  <r>
    <s v="ORD0112"/>
    <s v="Customer 112"/>
    <s v="081447028562"/>
    <x v="5"/>
    <s v="Headset"/>
    <n v="3"/>
    <n v="722859"/>
    <n v="2168577"/>
    <s v="2025-06-17"/>
    <s v="Paid"/>
    <s v="Delivered"/>
    <s v="High"/>
  </r>
  <r>
    <s v="ORD0113"/>
    <s v="Customer 113"/>
    <s v="087175250918"/>
    <x v="2"/>
    <s v="Keyboard"/>
    <n v="2"/>
    <n v="144533"/>
    <n v="289066"/>
    <s v="2025-12-08"/>
    <s v="Paid"/>
    <s v="Shipped"/>
    <s v="Low"/>
  </r>
  <r>
    <s v="ORD0114"/>
    <s v="Customer 114"/>
    <s v="089849461086"/>
    <x v="5"/>
    <s v="USB Cable"/>
    <n v="1"/>
    <n v="872611"/>
    <n v="872611"/>
    <s v="2025-05-18"/>
    <s v="Paid"/>
    <s v="Shipped"/>
    <s v="Medium"/>
  </r>
  <r>
    <s v="ORD0115"/>
    <s v="Customer 115"/>
    <s v="081850205147"/>
    <x v="1"/>
    <s v="Keyboard"/>
    <n v="5"/>
    <n v="1353962"/>
    <n v="6769810"/>
    <s v="2025-07-13"/>
    <s v="Pending"/>
    <s v="Shipped"/>
    <s v="High"/>
  </r>
  <r>
    <s v="ORD0116"/>
    <s v="Customer 116"/>
    <s v="088208224714"/>
    <x v="6"/>
    <s v="USB Cable"/>
    <n v="5"/>
    <n v="506373"/>
    <n v="2531865"/>
    <s v="2025-01-28"/>
    <s v="Paid"/>
    <s v="Delivered"/>
    <s v="High"/>
  </r>
  <r>
    <s v="ORD0117"/>
    <s v="Customer 117"/>
    <s v="089510372457"/>
    <x v="1"/>
    <s v="USB Cable"/>
    <n v="1"/>
    <n v="909256"/>
    <n v="909256"/>
    <s v="2025-04-24"/>
    <s v="Paid"/>
    <s v="Shipped"/>
    <s v="Medium"/>
  </r>
  <r>
    <s v="ORD0118"/>
    <s v="Customer 118"/>
    <s v="085727371110"/>
    <x v="1"/>
    <s v="USB Cable"/>
    <n v="3"/>
    <n v="487871"/>
    <n v="1463613"/>
    <s v="2025-08-19"/>
    <s v="Paid"/>
    <s v="Delivered"/>
    <s v="Medium"/>
  </r>
  <r>
    <s v="ORD0119"/>
    <s v="Customer 119"/>
    <s v="083388979739"/>
    <x v="1"/>
    <s v="Keyboard"/>
    <n v="2"/>
    <n v="620701"/>
    <n v="1241402"/>
    <s v="2025-11-01"/>
    <s v="Pending"/>
    <s v="Delivered"/>
    <s v="Medium"/>
  </r>
  <r>
    <s v="ORD0120"/>
    <s v="Customer 120"/>
    <s v="088253484886"/>
    <x v="2"/>
    <s v="Monitor"/>
    <n v="5"/>
    <n v="828203"/>
    <n v="4141015"/>
    <s v="2025-01-14"/>
    <s v="Pending"/>
    <s v="Processing"/>
    <s v="High"/>
  </r>
  <r>
    <s v="ORD0121"/>
    <s v="Customer 121"/>
    <s v="084669398253"/>
    <x v="3"/>
    <s v="Keyboard"/>
    <n v="5"/>
    <n v="935250"/>
    <n v="4676250"/>
    <s v="2025-05-05"/>
    <s v="Paid"/>
    <s v="Delivered"/>
    <s v="High"/>
  </r>
  <r>
    <s v="ORD0122"/>
    <s v="Customer 122"/>
    <s v="086506914907"/>
    <x v="4"/>
    <s v="Monitor"/>
    <n v="2"/>
    <n v="1299922"/>
    <n v="2599844"/>
    <s v="2025-08-01"/>
    <s v="Pending"/>
    <s v="Processing"/>
    <s v="High"/>
  </r>
  <r>
    <s v="ORD0123"/>
    <s v="Customer 123"/>
    <s v="088524462305"/>
    <x v="3"/>
    <s v="Mouse"/>
    <n v="1"/>
    <n v="1213381"/>
    <n v="1213381"/>
    <s v="2025-11-20"/>
    <s v="Paid"/>
    <s v="Processing"/>
    <s v="Medium"/>
  </r>
  <r>
    <s v="ORD0124"/>
    <s v="Customer 124"/>
    <s v="085230250748"/>
    <x v="4"/>
    <s v="Keyboard"/>
    <n v="4"/>
    <n v="132716"/>
    <n v="530864"/>
    <s v="2025-11-03"/>
    <s v="Pending"/>
    <s v="Delivered"/>
    <s v="Medium"/>
  </r>
  <r>
    <s v="ORD0125"/>
    <s v="Customer 125"/>
    <s v="084762616233"/>
    <x v="2"/>
    <s v="USB Cable"/>
    <n v="2"/>
    <n v="977416"/>
    <n v="1954832"/>
    <s v="2025-05-26"/>
    <s v="Paid"/>
    <s v="Shipped"/>
    <s v="Medium"/>
  </r>
  <r>
    <s v="ORD0126"/>
    <s v="Customer 126"/>
    <s v="082563107213"/>
    <x v="4"/>
    <s v="Keyboard"/>
    <n v="5"/>
    <n v="1240380"/>
    <n v="6201900"/>
    <s v="2025-05-27"/>
    <s v="Pending"/>
    <s v="Delivered"/>
    <s v="High"/>
  </r>
  <r>
    <s v="ORD0127"/>
    <s v="Customer 127"/>
    <s v="082165370556"/>
    <x v="0"/>
    <s v="Monitor"/>
    <n v="5"/>
    <n v="995790"/>
    <n v="4978950"/>
    <s v="2025-06-14"/>
    <s v="Paid"/>
    <s v="Processing"/>
    <s v="High"/>
  </r>
  <r>
    <s v="ORD0128"/>
    <s v="Customer 128"/>
    <s v="084703424767"/>
    <x v="1"/>
    <s v="Laptop Stand"/>
    <n v="2"/>
    <n v="598571"/>
    <n v="1197142"/>
    <s v="2025-07-28"/>
    <s v="Paid"/>
    <s v="Delivered"/>
    <s v="Medium"/>
  </r>
  <r>
    <s v="ORD0129"/>
    <s v="Customer 129"/>
    <s v="089092719044"/>
    <x v="5"/>
    <s v="SSD"/>
    <n v="1"/>
    <n v="965645"/>
    <n v="965645"/>
    <s v="2025-12-18"/>
    <s v="Pending"/>
    <s v="Processing"/>
    <s v="Medium"/>
  </r>
  <r>
    <s v="ORD0130"/>
    <s v="Customer 130"/>
    <s v="085497816546"/>
    <x v="1"/>
    <s v="Monitor"/>
    <n v="4"/>
    <n v="1147644"/>
    <n v="4590576"/>
    <s v="2025-03-28"/>
    <s v="Pending"/>
    <s v="Shipped"/>
    <s v="High"/>
  </r>
  <r>
    <s v="ORD0131"/>
    <s v="Customer 131"/>
    <s v="087505776246"/>
    <x v="1"/>
    <s v="Headset"/>
    <n v="2"/>
    <n v="755902"/>
    <n v="1511804"/>
    <s v="2025-07-13"/>
    <s v="Paid"/>
    <s v="Shipped"/>
    <s v="Medium"/>
  </r>
  <r>
    <s v="ORD0132"/>
    <s v="Customer 132"/>
    <s v="088096559366"/>
    <x v="6"/>
    <s v="Laptop Stand"/>
    <n v="3"/>
    <n v="202904"/>
    <n v="608712"/>
    <s v="2025-10-23"/>
    <s v="Pending"/>
    <s v="Shipped"/>
    <s v="Medium"/>
  </r>
  <r>
    <s v="ORD0133"/>
    <s v="Customer 133"/>
    <s v="089937410504"/>
    <x v="3"/>
    <s v="Laptop Stand"/>
    <n v="3"/>
    <n v="1220771"/>
    <n v="3662313"/>
    <s v="2025-07-16"/>
    <s v="Paid"/>
    <s v="Processing"/>
    <s v="High"/>
  </r>
  <r>
    <s v="ORD0134"/>
    <s v="Customer 134"/>
    <s v="087513175451"/>
    <x v="3"/>
    <s v="Mouse"/>
    <n v="1"/>
    <n v="110317"/>
    <n v="110317"/>
    <s v="2025-01-26"/>
    <s v="Paid"/>
    <s v="Shipped"/>
    <s v="Low"/>
  </r>
  <r>
    <s v="ORD0135"/>
    <s v="Customer 135"/>
    <s v="089307614846"/>
    <x v="5"/>
    <s v="USB Cable"/>
    <n v="5"/>
    <n v="1090814"/>
    <n v="5454070"/>
    <s v="2025-05-17"/>
    <s v="Pending"/>
    <s v="Shipped"/>
    <s v="High"/>
  </r>
  <r>
    <s v="ORD0136"/>
    <s v="Customer 136"/>
    <s v="084170051324"/>
    <x v="2"/>
    <s v="Monitor"/>
    <n v="1"/>
    <n v="1233209"/>
    <n v="1233209"/>
    <s v="2025-01-21"/>
    <s v="Paid"/>
    <s v="Processing"/>
    <s v="Medium"/>
  </r>
  <r>
    <s v="ORD0137"/>
    <s v="Customer 137"/>
    <s v="088766113031"/>
    <x v="5"/>
    <s v="Mouse"/>
    <n v="5"/>
    <n v="272485"/>
    <n v="1362425"/>
    <s v="2025-02-16"/>
    <s v="Paid"/>
    <s v="Processing"/>
    <s v="Medium"/>
  </r>
  <r>
    <s v="ORD0138"/>
    <s v="Customer 138"/>
    <s v="081454613082"/>
    <x v="1"/>
    <s v="Laptop Stand"/>
    <n v="2"/>
    <n v="1170799"/>
    <n v="2341598"/>
    <s v="2025-03-05"/>
    <s v="Paid"/>
    <s v="Processing"/>
    <s v="High"/>
  </r>
  <r>
    <s v="ORD0139"/>
    <s v="Customer 139"/>
    <s v="084149593460"/>
    <x v="1"/>
    <s v="Laptop Stand"/>
    <n v="4"/>
    <n v="208908"/>
    <n v="835632"/>
    <s v="2025-09-11"/>
    <s v="Paid"/>
    <s v="Delivered"/>
    <s v="Medium"/>
  </r>
  <r>
    <s v="ORD0140"/>
    <s v="Customer 140"/>
    <s v="085072909456"/>
    <x v="5"/>
    <s v="USB Cable"/>
    <n v="3"/>
    <n v="414581"/>
    <n v="1243743"/>
    <s v="2025-08-03"/>
    <s v="Paid"/>
    <s v="Delivered"/>
    <s v="Medium"/>
  </r>
  <r>
    <s v="ORD0141"/>
    <s v="Customer 141"/>
    <s v="086854220814"/>
    <x v="4"/>
    <s v="Laptop Stand"/>
    <n v="2"/>
    <n v="1194135"/>
    <n v="2388270"/>
    <s v="2025-05-11"/>
    <s v="Pending"/>
    <s v="Shipped"/>
    <s v="High"/>
  </r>
  <r>
    <s v="ORD0142"/>
    <s v="Customer 142"/>
    <s v="083343030848"/>
    <x v="2"/>
    <s v="SSD"/>
    <n v="3"/>
    <n v="825177"/>
    <n v="2475531"/>
    <s v="2025-01-12"/>
    <s v="Paid"/>
    <s v="Delivered"/>
    <s v="High"/>
  </r>
  <r>
    <s v="ORD0143"/>
    <s v="Customer 143"/>
    <s v="089143678438"/>
    <x v="2"/>
    <s v="Laptop Stand"/>
    <n v="2"/>
    <n v="1282516"/>
    <n v="2565032"/>
    <s v="2025-04-10"/>
    <s v="Pending"/>
    <s v="Shipped"/>
    <s v="High"/>
  </r>
  <r>
    <s v="ORD0144"/>
    <s v="Customer 144"/>
    <s v="084772855871"/>
    <x v="1"/>
    <s v="USB Cable"/>
    <n v="1"/>
    <n v="1428205"/>
    <n v="1428205"/>
    <s v="2025-08-09"/>
    <s v="Pending"/>
    <s v="Delivered"/>
    <s v="Medium"/>
  </r>
  <r>
    <s v="ORD0145"/>
    <s v="Customer 145"/>
    <s v="082019630132"/>
    <x v="2"/>
    <s v="SSD"/>
    <n v="4"/>
    <n v="1298655"/>
    <n v="5194620"/>
    <s v="2025-11-16"/>
    <s v="Pending"/>
    <s v="Processing"/>
    <s v="High"/>
  </r>
  <r>
    <s v="ORD0146"/>
    <s v="Customer 146"/>
    <s v="081721121103"/>
    <x v="0"/>
    <s v="Laptop Stand"/>
    <n v="3"/>
    <n v="1284187"/>
    <n v="3852561"/>
    <s v="2025-01-30"/>
    <s v="Pending"/>
    <s v="Processing"/>
    <s v="High"/>
  </r>
  <r>
    <s v="ORD0147"/>
    <s v="Customer 147"/>
    <s v="084457342217"/>
    <x v="4"/>
    <s v="USB Cable"/>
    <n v="1"/>
    <n v="733847"/>
    <n v="733847"/>
    <s v="2025-07-18"/>
    <s v="Paid"/>
    <s v="Shipped"/>
    <s v="Medium"/>
  </r>
  <r>
    <s v="ORD0148"/>
    <s v="Customer 148"/>
    <s v="089925053492"/>
    <x v="3"/>
    <s v="Mouse"/>
    <n v="4"/>
    <n v="498812"/>
    <n v="1995248"/>
    <s v="2025-08-07"/>
    <s v="Paid"/>
    <s v="Processing"/>
    <s v="Medium"/>
  </r>
  <r>
    <s v="ORD0149"/>
    <s v="Customer 149"/>
    <s v="089227144893"/>
    <x v="0"/>
    <s v="SSD"/>
    <n v="4"/>
    <n v="1217708"/>
    <n v="4870832"/>
    <s v="2025-12-08"/>
    <s v="Paid"/>
    <s v="Shipped"/>
    <s v="High"/>
  </r>
  <r>
    <s v="ORD0150"/>
    <s v="Customer 150"/>
    <s v="087456299740"/>
    <x v="4"/>
    <s v="SSD"/>
    <n v="5"/>
    <n v="1243947"/>
    <n v="6219735"/>
    <s v="2025-06-19"/>
    <s v="Pending"/>
    <s v="Processing"/>
    <s v="High"/>
  </r>
  <r>
    <s v="ORD0151"/>
    <s v="Customer 151"/>
    <s v="089736705201"/>
    <x v="0"/>
    <s v="Monitor"/>
    <n v="1"/>
    <n v="598210"/>
    <n v="598210"/>
    <s v="2025-09-02"/>
    <s v="Pending"/>
    <s v="Delivered"/>
    <s v="Medium"/>
  </r>
  <r>
    <s v="ORD0152"/>
    <s v="Customer 152"/>
    <s v="084897325422"/>
    <x v="5"/>
    <s v="Mouse"/>
    <n v="2"/>
    <n v="290471"/>
    <n v="580942"/>
    <s v="2025-03-22"/>
    <s v="Pending"/>
    <s v="Delivered"/>
    <s v="Medium"/>
  </r>
  <r>
    <s v="ORD0153"/>
    <s v="Customer 153"/>
    <s v="081409379324"/>
    <x v="0"/>
    <s v="Mouse"/>
    <n v="2"/>
    <n v="1142105"/>
    <n v="2284210"/>
    <s v="2025-03-23"/>
    <s v="Pending"/>
    <s v="Shipped"/>
    <s v="High"/>
  </r>
  <r>
    <s v="ORD0154"/>
    <s v="Customer 154"/>
    <s v="084178511639"/>
    <x v="5"/>
    <s v="Keyboard"/>
    <n v="1"/>
    <n v="192788"/>
    <n v="192788"/>
    <s v="2025-12-12"/>
    <s v="Paid"/>
    <s v="Delivered"/>
    <s v="Low"/>
  </r>
  <r>
    <s v="ORD0155"/>
    <s v="Customer 155"/>
    <s v="089322095928"/>
    <x v="6"/>
    <s v="Laptop Stand"/>
    <n v="4"/>
    <n v="469889"/>
    <n v="1879556"/>
    <s v="2025-09-05"/>
    <s v="Pending"/>
    <s v="Delivered"/>
    <s v="Medium"/>
  </r>
  <r>
    <s v="ORD0156"/>
    <s v="Customer 156"/>
    <s v="083508402439"/>
    <x v="1"/>
    <s v="Laptop Stand"/>
    <n v="3"/>
    <n v="441841"/>
    <n v="1325523"/>
    <s v="2025-11-08"/>
    <s v="Paid"/>
    <s v="Shipped"/>
    <s v="Medium"/>
  </r>
  <r>
    <s v="ORD0157"/>
    <s v="Customer 157"/>
    <s v="082809301965"/>
    <x v="4"/>
    <s v="USB Cable"/>
    <n v="3"/>
    <n v="243506"/>
    <n v="730518"/>
    <s v="2025-12-20"/>
    <s v="Pending"/>
    <s v="Shipped"/>
    <s v="Medium"/>
  </r>
  <r>
    <s v="ORD0158"/>
    <s v="Customer 158"/>
    <s v="089139213458"/>
    <x v="1"/>
    <s v="Monitor"/>
    <n v="3"/>
    <n v="305877"/>
    <n v="917631"/>
    <s v="2025-11-28"/>
    <s v="Pending"/>
    <s v="Processing"/>
    <s v="Medium"/>
  </r>
  <r>
    <s v="ORD0159"/>
    <s v="Customer 159"/>
    <s v="084447715529"/>
    <x v="0"/>
    <s v="SSD"/>
    <n v="5"/>
    <n v="205142"/>
    <n v="1025710"/>
    <s v="2025-11-04"/>
    <s v="Paid"/>
    <s v="Processing"/>
    <s v="Medium"/>
  </r>
  <r>
    <s v="ORD0160"/>
    <s v="Customer 160"/>
    <s v="087248332218"/>
    <x v="2"/>
    <s v="Mouse"/>
    <n v="5"/>
    <n v="748241"/>
    <n v="3741205"/>
    <s v="2025-11-14"/>
    <s v="Paid"/>
    <s v="Shipped"/>
    <s v="High"/>
  </r>
  <r>
    <s v="ORD0161"/>
    <s v="Customer 161"/>
    <s v="088306578783"/>
    <x v="4"/>
    <s v="Mouse"/>
    <n v="4"/>
    <n v="870576"/>
    <n v="3482304"/>
    <s v="2025-11-22"/>
    <s v="Paid"/>
    <s v="Processing"/>
    <s v="High"/>
  </r>
  <r>
    <s v="ORD0162"/>
    <s v="Customer 162"/>
    <s v="086374342857"/>
    <x v="6"/>
    <s v="Keyboard"/>
    <n v="2"/>
    <n v="540505"/>
    <n v="1081010"/>
    <s v="2025-02-27"/>
    <s v="Pending"/>
    <s v="Delivered"/>
    <s v="Medium"/>
  </r>
  <r>
    <s v="ORD0163"/>
    <s v="Customer 163"/>
    <s v="081083088857"/>
    <x v="1"/>
    <s v="SSD"/>
    <n v="5"/>
    <n v="1132948"/>
    <n v="5664740"/>
    <s v="2025-12-08"/>
    <s v="Paid"/>
    <s v="Shipped"/>
    <s v="High"/>
  </r>
  <r>
    <s v="ORD0164"/>
    <s v="Customer 164"/>
    <s v="087209653741"/>
    <x v="3"/>
    <s v="Headset"/>
    <n v="2"/>
    <n v="662263"/>
    <n v="1324526"/>
    <s v="2025-12-10"/>
    <s v="Pending"/>
    <s v="Shipped"/>
    <s v="Medium"/>
  </r>
  <r>
    <s v="ORD0165"/>
    <s v="Customer 165"/>
    <s v="085061082525"/>
    <x v="1"/>
    <s v="Headset"/>
    <n v="4"/>
    <n v="794648"/>
    <n v="3178592"/>
    <s v="2025-02-12"/>
    <s v="Pending"/>
    <s v="Shipped"/>
    <s v="High"/>
  </r>
  <r>
    <s v="ORD0166"/>
    <s v="Customer 166"/>
    <s v="083267022919"/>
    <x v="5"/>
    <s v="Headset"/>
    <n v="3"/>
    <n v="229020"/>
    <n v="687060"/>
    <s v="2025-12-04"/>
    <s v="Pending"/>
    <s v="Delivered"/>
    <s v="Medium"/>
  </r>
  <r>
    <s v="ORD0167"/>
    <s v="Customer 167"/>
    <s v="088436524523"/>
    <x v="6"/>
    <s v="USB Cable"/>
    <n v="2"/>
    <n v="1238234"/>
    <n v="2476468"/>
    <s v="2025-05-15"/>
    <s v="Paid"/>
    <s v="Processing"/>
    <s v="High"/>
  </r>
  <r>
    <s v="ORD0168"/>
    <s v="Customer 168"/>
    <s v="087875323001"/>
    <x v="0"/>
    <s v="Laptop Stand"/>
    <n v="2"/>
    <n v="952386"/>
    <n v="1904772"/>
    <s v="2025-04-18"/>
    <s v="Paid"/>
    <s v="Delivered"/>
    <s v="Medium"/>
  </r>
  <r>
    <s v="ORD0169"/>
    <s v="Customer 169"/>
    <s v="089874055644"/>
    <x v="2"/>
    <s v="SSD"/>
    <n v="5"/>
    <n v="821596"/>
    <n v="4107980"/>
    <s v="2025-11-01"/>
    <s v="Pending"/>
    <s v="Delivered"/>
    <s v="High"/>
  </r>
  <r>
    <s v="ORD0170"/>
    <s v="Customer 170"/>
    <s v="081904134087"/>
    <x v="1"/>
    <s v="USB Cable"/>
    <n v="2"/>
    <n v="182635"/>
    <n v="365270"/>
    <s v="2025-05-31"/>
    <s v="Pending"/>
    <s v="Shipped"/>
    <s v="Low"/>
  </r>
  <r>
    <s v="ORD0171"/>
    <s v="Customer 171"/>
    <s v="085465939093"/>
    <x v="3"/>
    <s v="Headset"/>
    <n v="3"/>
    <n v="496343"/>
    <n v="1489029"/>
    <s v="2025-11-05"/>
    <s v="Pending"/>
    <s v="Processing"/>
    <s v="Medium"/>
  </r>
  <r>
    <s v="ORD0172"/>
    <s v="Customer 172"/>
    <s v="086743170002"/>
    <x v="4"/>
    <s v="Monitor"/>
    <n v="5"/>
    <n v="463695"/>
    <n v="2318475"/>
    <s v="2025-03-04"/>
    <s v="Pending"/>
    <s v="Delivered"/>
    <s v="High"/>
  </r>
  <r>
    <s v="ORD0173"/>
    <s v="Customer 173"/>
    <s v="084888965921"/>
    <x v="1"/>
    <s v="USB Cable"/>
    <n v="2"/>
    <n v="1161061"/>
    <n v="2322122"/>
    <s v="2025-04-15"/>
    <s v="Pending"/>
    <s v="Delivered"/>
    <s v="High"/>
  </r>
  <r>
    <s v="ORD0174"/>
    <s v="Customer 174"/>
    <s v="082790447117"/>
    <x v="2"/>
    <s v="Headset"/>
    <n v="3"/>
    <n v="760183"/>
    <n v="2280549"/>
    <s v="2025-10-16"/>
    <s v="Pending"/>
    <s v="Delivered"/>
    <s v="High"/>
  </r>
  <r>
    <s v="ORD0175"/>
    <s v="Customer 175"/>
    <s v="087694870838"/>
    <x v="4"/>
    <s v="USB Cable"/>
    <n v="1"/>
    <n v="759819"/>
    <n v="759819"/>
    <s v="2025-12-30"/>
    <s v="Paid"/>
    <s v="Shipped"/>
    <s v="Medium"/>
  </r>
  <r>
    <s v="ORD0176"/>
    <s v="Customer 176"/>
    <s v="084694908620"/>
    <x v="4"/>
    <s v="Laptop Stand"/>
    <n v="2"/>
    <n v="220208"/>
    <n v="440416"/>
    <s v="2025-10-01"/>
    <s v="Pending"/>
    <s v="Processing"/>
    <s v="Low"/>
  </r>
  <r>
    <s v="ORD0177"/>
    <s v="Customer 177"/>
    <s v="088165178949"/>
    <x v="0"/>
    <s v="Headset"/>
    <n v="4"/>
    <n v="304598"/>
    <n v="1218392"/>
    <s v="2025-05-13"/>
    <s v="Paid"/>
    <s v="Delivered"/>
    <s v="Medium"/>
  </r>
  <r>
    <s v="ORD0178"/>
    <s v="Customer 178"/>
    <s v="084316655359"/>
    <x v="1"/>
    <s v="Mouse"/>
    <n v="2"/>
    <n v="1044757"/>
    <n v="2089514"/>
    <s v="2025-07-22"/>
    <s v="Pending"/>
    <s v="Delivered"/>
    <s v="High"/>
  </r>
  <r>
    <s v="ORD0179"/>
    <s v="Customer 179"/>
    <s v="089599157745"/>
    <x v="6"/>
    <s v="Keyboard"/>
    <n v="5"/>
    <n v="769045"/>
    <n v="3845225"/>
    <s v="2025-09-23"/>
    <s v="Pending"/>
    <s v="Processing"/>
    <s v="High"/>
  </r>
  <r>
    <s v="ORD0180"/>
    <s v="Customer 180"/>
    <s v="081286560721"/>
    <x v="6"/>
    <s v="Laptop Stand"/>
    <n v="4"/>
    <n v="638683"/>
    <n v="2554732"/>
    <s v="2025-12-16"/>
    <s v="Paid"/>
    <s v="Processing"/>
    <s v="High"/>
  </r>
  <r>
    <s v="ORD0181"/>
    <s v="Customer 181"/>
    <s v="086471169703"/>
    <x v="3"/>
    <s v="Monitor"/>
    <n v="2"/>
    <n v="1153004"/>
    <n v="2306008"/>
    <s v="2025-04-27"/>
    <s v="Pending"/>
    <s v="Delivered"/>
    <s v="High"/>
  </r>
  <r>
    <s v="ORD0182"/>
    <s v="Customer 182"/>
    <s v="081866633130"/>
    <x v="2"/>
    <s v="Keyboard"/>
    <n v="4"/>
    <n v="101747"/>
    <n v="406988"/>
    <s v="2025-10-08"/>
    <s v="Paid"/>
    <s v="Shipped"/>
    <s v="Low"/>
  </r>
  <r>
    <s v="ORD0183"/>
    <s v="Customer 183"/>
    <s v="085233824847"/>
    <x v="1"/>
    <s v="Laptop Stand"/>
    <n v="3"/>
    <n v="1260592"/>
    <n v="3781776"/>
    <s v="2025-01-10"/>
    <s v="Pending"/>
    <s v="Shipped"/>
    <s v="High"/>
  </r>
  <r>
    <s v="ORD0184"/>
    <s v="Customer 184"/>
    <s v="087797407434"/>
    <x v="4"/>
    <s v="Headset"/>
    <n v="2"/>
    <n v="371287"/>
    <n v="742574"/>
    <s v="2025-01-12"/>
    <s v="Paid"/>
    <s v="Shipped"/>
    <s v="Medium"/>
  </r>
  <r>
    <s v="ORD0185"/>
    <s v="Customer 185"/>
    <s v="081066721402"/>
    <x v="4"/>
    <s v="SSD"/>
    <n v="3"/>
    <n v="439445"/>
    <n v="1318335"/>
    <s v="2025-07-06"/>
    <s v="Pending"/>
    <s v="Shipped"/>
    <s v="Medium"/>
  </r>
  <r>
    <s v="ORD0186"/>
    <s v="Customer 186"/>
    <s v="082709124353"/>
    <x v="5"/>
    <s v="Mouse"/>
    <n v="3"/>
    <n v="851116"/>
    <n v="2553348"/>
    <s v="2025-11-02"/>
    <s v="Pending"/>
    <s v="Delivered"/>
    <s v="High"/>
  </r>
  <r>
    <s v="ORD0187"/>
    <s v="Customer 187"/>
    <s v="082264136315"/>
    <x v="1"/>
    <s v="Mouse"/>
    <n v="3"/>
    <n v="710446"/>
    <n v="2131338"/>
    <s v="2025-11-13"/>
    <s v="Paid"/>
    <s v="Shipped"/>
    <s v="High"/>
  </r>
  <r>
    <s v="ORD0188"/>
    <s v="Customer 188"/>
    <s v="089734979957"/>
    <x v="2"/>
    <s v="Laptop Stand"/>
    <n v="3"/>
    <n v="281932"/>
    <n v="845796"/>
    <s v="2025-01-04"/>
    <s v="Paid"/>
    <s v="Shipped"/>
    <s v="Medium"/>
  </r>
  <r>
    <s v="ORD0189"/>
    <s v="Customer 189"/>
    <s v="085964472736"/>
    <x v="2"/>
    <s v="Mouse"/>
    <n v="3"/>
    <n v="538412"/>
    <n v="1615236"/>
    <s v="2025-04-09"/>
    <s v="Pending"/>
    <s v="Shipped"/>
    <s v="Medium"/>
  </r>
  <r>
    <s v="ORD0190"/>
    <s v="Customer 190"/>
    <s v="086849275493"/>
    <x v="2"/>
    <s v="Monitor"/>
    <n v="2"/>
    <n v="1101577"/>
    <n v="2203154"/>
    <s v="2025-11-03"/>
    <s v="Pending"/>
    <s v="Shipped"/>
    <s v="High"/>
  </r>
  <r>
    <s v="ORD0191"/>
    <s v="Customer 191"/>
    <s v="086621784230"/>
    <x v="6"/>
    <s v="Laptop Stand"/>
    <n v="3"/>
    <n v="460131"/>
    <n v="1380393"/>
    <s v="2025-04-14"/>
    <s v="Pending"/>
    <s v="Delivered"/>
    <s v="Medium"/>
  </r>
  <r>
    <s v="ORD0192"/>
    <s v="Customer 192"/>
    <s v="083662542025"/>
    <x v="4"/>
    <s v="USB Cable"/>
    <n v="4"/>
    <n v="181111"/>
    <n v="724444"/>
    <s v="2025-02-22"/>
    <s v="Paid"/>
    <s v="Shipped"/>
    <s v="Medium"/>
  </r>
  <r>
    <s v="ORD0193"/>
    <s v="Customer 193"/>
    <s v="087956189566"/>
    <x v="1"/>
    <s v="USB Cable"/>
    <n v="1"/>
    <n v="528533"/>
    <n v="528533"/>
    <s v="2025-08-16"/>
    <s v="Pending"/>
    <s v="Processing"/>
    <s v="Medium"/>
  </r>
  <r>
    <s v="ORD0194"/>
    <s v="Customer 194"/>
    <s v="087576659994"/>
    <x v="6"/>
    <s v="Mouse"/>
    <n v="3"/>
    <n v="687879"/>
    <n v="2063637"/>
    <s v="2025-03-26"/>
    <s v="Paid"/>
    <s v="Shipped"/>
    <s v="High"/>
  </r>
  <r>
    <s v="ORD0195"/>
    <s v="Customer 195"/>
    <s v="087354938669"/>
    <x v="5"/>
    <s v="Laptop Stand"/>
    <n v="3"/>
    <n v="1194183"/>
    <n v="3582549"/>
    <s v="2025-02-11"/>
    <s v="Pending"/>
    <s v="Delivered"/>
    <s v="High"/>
  </r>
  <r>
    <s v="ORD0196"/>
    <s v="Customer 196"/>
    <s v="083462590267"/>
    <x v="0"/>
    <s v="Keyboard"/>
    <n v="1"/>
    <n v="140992"/>
    <n v="140992"/>
    <s v="2025-06-04"/>
    <s v="Pending"/>
    <s v="Processing"/>
    <s v="Low"/>
  </r>
  <r>
    <s v="ORD0197"/>
    <s v="Customer 197"/>
    <s v="087021105971"/>
    <x v="1"/>
    <s v="USB Cable"/>
    <n v="1"/>
    <n v="1479202"/>
    <n v="1479202"/>
    <s v="2025-05-23"/>
    <s v="Paid"/>
    <s v="Processing"/>
    <s v="Medium"/>
  </r>
  <r>
    <s v="ORD0198"/>
    <s v="Customer 198"/>
    <s v="087366552406"/>
    <x v="5"/>
    <s v="SSD"/>
    <n v="4"/>
    <n v="1489951"/>
    <n v="5959804"/>
    <s v="2025-05-02"/>
    <s v="Pending"/>
    <s v="Shipped"/>
    <s v="High"/>
  </r>
  <r>
    <s v="ORD0199"/>
    <s v="Customer 199"/>
    <s v="086682771545"/>
    <x v="5"/>
    <s v="SSD"/>
    <n v="1"/>
    <n v="1128018"/>
    <n v="1128018"/>
    <s v="2025-04-24"/>
    <s v="Paid"/>
    <s v="Processing"/>
    <s v="Medium"/>
  </r>
  <r>
    <s v="ORD0200"/>
    <s v="Customer 200"/>
    <s v="083035337862"/>
    <x v="2"/>
    <s v="Keyboard"/>
    <n v="4"/>
    <n v="946218"/>
    <n v="3784872"/>
    <s v="2025-08-01"/>
    <s v="Paid"/>
    <s v="Delivered"/>
    <s v="High"/>
  </r>
  <r>
    <s v="ORD0201"/>
    <s v="Customer 201"/>
    <s v="089199493540"/>
    <x v="4"/>
    <s v="USB Cable"/>
    <n v="5"/>
    <n v="1072479"/>
    <n v="5362395"/>
    <s v="2025-06-01"/>
    <s v="Paid"/>
    <s v="Delivered"/>
    <s v="High"/>
  </r>
  <r>
    <s v="ORD0202"/>
    <s v="Customer 202"/>
    <s v="085739348744"/>
    <x v="4"/>
    <s v="USB Cable"/>
    <n v="3"/>
    <n v="134603"/>
    <n v="403809"/>
    <s v="2025-10-27"/>
    <s v="Paid"/>
    <s v="Shipped"/>
    <s v="Low"/>
  </r>
  <r>
    <s v="ORD0203"/>
    <s v="Customer 203"/>
    <s v="081514443749"/>
    <x v="5"/>
    <s v="Laptop Stand"/>
    <n v="3"/>
    <n v="102313"/>
    <n v="306939"/>
    <s v="2025-03-25"/>
    <s v="Pending"/>
    <s v="Processing"/>
    <s v="Low"/>
  </r>
  <r>
    <s v="ORD0204"/>
    <s v="Customer 204"/>
    <s v="086932101896"/>
    <x v="2"/>
    <s v="Keyboard"/>
    <n v="2"/>
    <n v="1152264"/>
    <n v="2304528"/>
    <s v="2025-08-23"/>
    <s v="Paid"/>
    <s v="Shipped"/>
    <s v="High"/>
  </r>
  <r>
    <s v="ORD0205"/>
    <s v="Customer 205"/>
    <s v="087027667533"/>
    <x v="3"/>
    <s v="Keyboard"/>
    <n v="2"/>
    <n v="369757"/>
    <n v="739514"/>
    <s v="2025-01-19"/>
    <s v="Paid"/>
    <s v="Delivered"/>
    <s v="Medium"/>
  </r>
  <r>
    <s v="ORD0206"/>
    <s v="Customer 206"/>
    <s v="087592542045"/>
    <x v="1"/>
    <s v="Keyboard"/>
    <n v="3"/>
    <n v="83138"/>
    <n v="249414"/>
    <s v="2025-02-03"/>
    <s v="Pending"/>
    <s v="Processing"/>
    <s v="Low"/>
  </r>
  <r>
    <s v="ORD0207"/>
    <s v="Customer 207"/>
    <s v="088307777716"/>
    <x v="4"/>
    <s v="Laptop Stand"/>
    <n v="5"/>
    <n v="939854"/>
    <n v="4699270"/>
    <s v="2025-09-04"/>
    <s v="Pending"/>
    <s v="Shipped"/>
    <s v="High"/>
  </r>
  <r>
    <s v="ORD0208"/>
    <s v="Customer 208"/>
    <s v="085239882992"/>
    <x v="0"/>
    <s v="Laptop Stand"/>
    <n v="2"/>
    <n v="475387"/>
    <n v="950774"/>
    <s v="2025-09-21"/>
    <s v="Pending"/>
    <s v="Delivered"/>
    <s v="Medium"/>
  </r>
  <r>
    <s v="ORD0209"/>
    <s v="Customer 209"/>
    <s v="082425942212"/>
    <x v="2"/>
    <s v="Headset"/>
    <n v="2"/>
    <n v="1210304"/>
    <n v="2420608"/>
    <s v="2025-02-06"/>
    <s v="Pending"/>
    <s v="Processing"/>
    <s v="High"/>
  </r>
  <r>
    <s v="ORD0210"/>
    <s v="Customer 210"/>
    <s v="085259613597"/>
    <x v="3"/>
    <s v="Keyboard"/>
    <n v="4"/>
    <n v="1047213"/>
    <n v="4188852"/>
    <s v="2025-01-01"/>
    <s v="Paid"/>
    <s v="Shipped"/>
    <s v="High"/>
  </r>
  <r>
    <s v="ORD0211"/>
    <s v="Customer 211"/>
    <s v="082481381339"/>
    <x v="1"/>
    <s v="Laptop Stand"/>
    <n v="2"/>
    <n v="176211"/>
    <n v="352422"/>
    <s v="2025-05-12"/>
    <s v="Pending"/>
    <s v="Shipped"/>
    <s v="Low"/>
  </r>
  <r>
    <s v="ORD0212"/>
    <s v="Customer 212"/>
    <s v="081162093617"/>
    <x v="2"/>
    <s v="Keyboard"/>
    <n v="4"/>
    <n v="1387241"/>
    <n v="5548964"/>
    <s v="2025-07-22"/>
    <s v="Paid"/>
    <s v="Delivered"/>
    <s v="High"/>
  </r>
  <r>
    <s v="ORD0213"/>
    <s v="Customer 213"/>
    <s v="081388852124"/>
    <x v="2"/>
    <s v="SSD"/>
    <n v="3"/>
    <n v="62461"/>
    <n v="187383"/>
    <s v="2025-12-24"/>
    <s v="Pending"/>
    <s v="Shipped"/>
    <s v="Low"/>
  </r>
  <r>
    <s v="ORD0214"/>
    <s v="Customer 214"/>
    <s v="082952588052"/>
    <x v="2"/>
    <s v="USB Cable"/>
    <n v="3"/>
    <n v="370049"/>
    <n v="1110147"/>
    <s v="2025-04-17"/>
    <s v="Paid"/>
    <s v="Processing"/>
    <s v="Medium"/>
  </r>
  <r>
    <s v="ORD0215"/>
    <s v="Customer 215"/>
    <s v="084643475537"/>
    <x v="0"/>
    <s v="Keyboard"/>
    <n v="1"/>
    <n v="237594"/>
    <n v="237594"/>
    <s v="2025-04-15"/>
    <s v="Pending"/>
    <s v="Shipped"/>
    <s v="Low"/>
  </r>
  <r>
    <s v="ORD0216"/>
    <s v="Customer 216"/>
    <s v="086306958658"/>
    <x v="4"/>
    <s v="SSD"/>
    <n v="4"/>
    <n v="290418"/>
    <n v="1161672"/>
    <s v="2025-11-05"/>
    <s v="Pending"/>
    <s v="Delivered"/>
    <s v="Medium"/>
  </r>
  <r>
    <s v="ORD0217"/>
    <s v="Customer 217"/>
    <s v="088446696297"/>
    <x v="2"/>
    <s v="USB Cable"/>
    <n v="3"/>
    <n v="85141"/>
    <n v="255423"/>
    <s v="2025-03-18"/>
    <s v="Paid"/>
    <s v="Delivered"/>
    <s v="Low"/>
  </r>
  <r>
    <s v="ORD0218"/>
    <s v="Customer 218"/>
    <s v="083208930114"/>
    <x v="4"/>
    <s v="USB Cable"/>
    <n v="3"/>
    <n v="911140"/>
    <n v="2733420"/>
    <s v="2025-11-07"/>
    <s v="Pending"/>
    <s v="Shipped"/>
    <s v="High"/>
  </r>
  <r>
    <s v="ORD0219"/>
    <s v="Customer 219"/>
    <s v="083286389575"/>
    <x v="2"/>
    <s v="SSD"/>
    <n v="4"/>
    <n v="488311"/>
    <n v="1953244"/>
    <s v="2025-05-11"/>
    <s v="Paid"/>
    <s v="Processing"/>
    <s v="Medium"/>
  </r>
  <r>
    <s v="ORD0220"/>
    <s v="Customer 220"/>
    <s v="081884572852"/>
    <x v="2"/>
    <s v="USB Cable"/>
    <n v="5"/>
    <n v="731621"/>
    <n v="3658105"/>
    <s v="2025-12-21"/>
    <s v="Pending"/>
    <s v="Delivered"/>
    <s v="High"/>
  </r>
  <r>
    <s v="ORD0221"/>
    <s v="Customer 221"/>
    <s v="083247130865"/>
    <x v="3"/>
    <s v="Mouse"/>
    <n v="2"/>
    <n v="457417"/>
    <n v="914834"/>
    <s v="2025-08-12"/>
    <s v="Pending"/>
    <s v="Delivered"/>
    <s v="Medium"/>
  </r>
  <r>
    <s v="ORD0222"/>
    <s v="Customer 222"/>
    <s v="087556066100"/>
    <x v="2"/>
    <s v="Mouse"/>
    <n v="1"/>
    <n v="1016979"/>
    <n v="1016979"/>
    <s v="2025-06-19"/>
    <s v="Paid"/>
    <s v="Processing"/>
    <s v="Medium"/>
  </r>
  <r>
    <s v="ORD0223"/>
    <s v="Customer 223"/>
    <s v="082425614407"/>
    <x v="3"/>
    <s v="Mouse"/>
    <n v="3"/>
    <n v="986153"/>
    <n v="2958459"/>
    <s v="2025-04-02"/>
    <s v="Pending"/>
    <s v="Processing"/>
    <s v="High"/>
  </r>
  <r>
    <s v="ORD0224"/>
    <s v="Customer 224"/>
    <s v="085853426135"/>
    <x v="3"/>
    <s v="Monitor"/>
    <n v="2"/>
    <n v="435811"/>
    <n v="871622"/>
    <s v="2025-07-20"/>
    <s v="Pending"/>
    <s v="Delivered"/>
    <s v="Medium"/>
  </r>
  <r>
    <s v="ORD0225"/>
    <s v="Customer 225"/>
    <s v="087640292746"/>
    <x v="1"/>
    <s v="Mouse"/>
    <n v="1"/>
    <n v="106888"/>
    <n v="106888"/>
    <s v="2025-04-09"/>
    <s v="Pending"/>
    <s v="Delivered"/>
    <s v="Low"/>
  </r>
  <r>
    <s v="ORD0226"/>
    <s v="Customer 226"/>
    <s v="082377482595"/>
    <x v="2"/>
    <s v="USB Cable"/>
    <n v="3"/>
    <n v="445299"/>
    <n v="1335897"/>
    <s v="2025-03-16"/>
    <s v="Pending"/>
    <s v="Processing"/>
    <s v="Medium"/>
  </r>
  <r>
    <s v="ORD0227"/>
    <s v="Customer 227"/>
    <s v="081526990765"/>
    <x v="3"/>
    <s v="Monitor"/>
    <n v="5"/>
    <n v="1352483"/>
    <n v="6762415"/>
    <s v="2025-03-31"/>
    <s v="Paid"/>
    <s v="Processing"/>
    <s v="High"/>
  </r>
  <r>
    <s v="ORD0228"/>
    <s v="Customer 228"/>
    <s v="083502741586"/>
    <x v="1"/>
    <s v="USB Cable"/>
    <n v="2"/>
    <n v="466873"/>
    <n v="933746"/>
    <s v="2025-04-09"/>
    <s v="Paid"/>
    <s v="Processing"/>
    <s v="Medium"/>
  </r>
  <r>
    <s v="ORD0229"/>
    <s v="Customer 229"/>
    <s v="087264965279"/>
    <x v="0"/>
    <s v="USB Cable"/>
    <n v="2"/>
    <n v="1447185"/>
    <n v="2894370"/>
    <s v="2025-05-29"/>
    <s v="Pending"/>
    <s v="Shipped"/>
    <s v="High"/>
  </r>
  <r>
    <s v="ORD0230"/>
    <s v="Customer 230"/>
    <s v="089241116156"/>
    <x v="6"/>
    <s v="Mouse"/>
    <n v="5"/>
    <n v="905440"/>
    <n v="4527200"/>
    <s v="2025-11-01"/>
    <s v="Pending"/>
    <s v="Processing"/>
    <s v="High"/>
  </r>
  <r>
    <s v="ORD0231"/>
    <s v="Customer 231"/>
    <s v="086067561938"/>
    <x v="0"/>
    <s v="Monitor"/>
    <n v="4"/>
    <n v="692598"/>
    <n v="2770392"/>
    <s v="2025-09-12"/>
    <s v="Pending"/>
    <s v="Shipped"/>
    <s v="High"/>
  </r>
  <r>
    <s v="ORD0232"/>
    <s v="Customer 232"/>
    <s v="081216671016"/>
    <x v="4"/>
    <s v="SSD"/>
    <n v="5"/>
    <n v="1067053"/>
    <n v="5335265"/>
    <s v="2025-08-30"/>
    <s v="Pending"/>
    <s v="Shipped"/>
    <s v="High"/>
  </r>
  <r>
    <s v="ORD0233"/>
    <s v="Customer 233"/>
    <s v="082304455877"/>
    <x v="3"/>
    <s v="Monitor"/>
    <n v="3"/>
    <n v="90812"/>
    <n v="272436"/>
    <s v="2025-09-08"/>
    <s v="Paid"/>
    <s v="Delivered"/>
    <s v="Low"/>
  </r>
  <r>
    <s v="ORD0234"/>
    <s v="Customer 234"/>
    <s v="086545206827"/>
    <x v="0"/>
    <s v="Headset"/>
    <n v="1"/>
    <n v="1287706"/>
    <n v="1287706"/>
    <s v="2025-04-09"/>
    <s v="Pending"/>
    <s v="Processing"/>
    <s v="Medium"/>
  </r>
  <r>
    <s v="ORD0235"/>
    <s v="Customer 235"/>
    <s v="084132359257"/>
    <x v="6"/>
    <s v="Keyboard"/>
    <n v="1"/>
    <n v="650471"/>
    <n v="650471"/>
    <s v="2025-07-14"/>
    <s v="Pending"/>
    <s v="Delivered"/>
    <s v="Medium"/>
  </r>
  <r>
    <s v="ORD0236"/>
    <s v="Customer 236"/>
    <s v="084905356189"/>
    <x v="6"/>
    <s v="Keyboard"/>
    <n v="5"/>
    <n v="1240315"/>
    <n v="6201575"/>
    <s v="2025-09-13"/>
    <s v="Paid"/>
    <s v="Shipped"/>
    <s v="High"/>
  </r>
  <r>
    <s v="ORD0237"/>
    <s v="Customer 237"/>
    <s v="089441835523"/>
    <x v="6"/>
    <s v="USB Cable"/>
    <n v="5"/>
    <n v="378880"/>
    <n v="1894400"/>
    <s v="2025-03-20"/>
    <s v="Paid"/>
    <s v="Shipped"/>
    <s v="Medium"/>
  </r>
  <r>
    <s v="ORD0238"/>
    <s v="Customer 238"/>
    <s v="084178333430"/>
    <x v="1"/>
    <s v="Keyboard"/>
    <n v="5"/>
    <n v="1383829"/>
    <n v="6919145"/>
    <s v="2025-03-22"/>
    <s v="Paid"/>
    <s v="Shipped"/>
    <s v="High"/>
  </r>
  <r>
    <s v="ORD0239"/>
    <s v="Customer 239"/>
    <s v="081973264575"/>
    <x v="6"/>
    <s v="Monitor"/>
    <n v="3"/>
    <n v="373934"/>
    <n v="1121802"/>
    <s v="2025-07-18"/>
    <s v="Pending"/>
    <s v="Shipped"/>
    <s v="Medium"/>
  </r>
  <r>
    <s v="ORD0240"/>
    <s v="Customer 240"/>
    <s v="085134703560"/>
    <x v="4"/>
    <s v="USB Cable"/>
    <n v="1"/>
    <n v="72457"/>
    <n v="72457"/>
    <s v="2025-06-23"/>
    <s v="Paid"/>
    <s v="Delivered"/>
    <s v="Low"/>
  </r>
  <r>
    <s v="ORD0241"/>
    <s v="Customer 241"/>
    <s v="082226992412"/>
    <x v="2"/>
    <s v="Laptop Stand"/>
    <n v="3"/>
    <n v="825850"/>
    <n v="2477550"/>
    <s v="2025-08-16"/>
    <s v="Pending"/>
    <s v="Processing"/>
    <s v="High"/>
  </r>
  <r>
    <s v="ORD0242"/>
    <s v="Customer 242"/>
    <s v="084541108663"/>
    <x v="5"/>
    <s v="Keyboard"/>
    <n v="3"/>
    <n v="233948"/>
    <n v="701844"/>
    <s v="2025-05-25"/>
    <s v="Pending"/>
    <s v="Shipped"/>
    <s v="Medium"/>
  </r>
  <r>
    <s v="ORD0243"/>
    <s v="Customer 243"/>
    <s v="082428181942"/>
    <x v="3"/>
    <s v="SSD"/>
    <n v="2"/>
    <n v="650666"/>
    <n v="1301332"/>
    <s v="2025-09-03"/>
    <s v="Pending"/>
    <s v="Processing"/>
    <s v="Medium"/>
  </r>
  <r>
    <s v="ORD0244"/>
    <s v="Customer 244"/>
    <s v="086334748976"/>
    <x v="4"/>
    <s v="Keyboard"/>
    <n v="5"/>
    <n v="1386204"/>
    <n v="6931020"/>
    <s v="2025-09-26"/>
    <s v="Paid"/>
    <s v="Shipped"/>
    <s v="High"/>
  </r>
  <r>
    <s v="ORD0245"/>
    <s v="Customer 245"/>
    <s v="088921025167"/>
    <x v="6"/>
    <s v="Monitor"/>
    <n v="5"/>
    <n v="757116"/>
    <n v="3785580"/>
    <s v="2025-05-27"/>
    <s v="Pending"/>
    <s v="Processing"/>
    <s v="High"/>
  </r>
  <r>
    <s v="ORD0246"/>
    <s v="Customer 246"/>
    <s v="088268762513"/>
    <x v="3"/>
    <s v="Keyboard"/>
    <n v="5"/>
    <n v="758550"/>
    <n v="3792750"/>
    <s v="2025-08-15"/>
    <s v="Paid"/>
    <s v="Shipped"/>
    <s v="High"/>
  </r>
  <r>
    <s v="ORD0247"/>
    <s v="Customer 247"/>
    <s v="083596677675"/>
    <x v="6"/>
    <s v="Headset"/>
    <n v="5"/>
    <n v="453752"/>
    <n v="2268760"/>
    <s v="2025-11-04"/>
    <s v="Paid"/>
    <s v="Processing"/>
    <s v="High"/>
  </r>
  <r>
    <s v="ORD0248"/>
    <s v="Customer 248"/>
    <s v="087245719987"/>
    <x v="1"/>
    <s v="SSD"/>
    <n v="2"/>
    <n v="1402595"/>
    <n v="2805190"/>
    <s v="2025-07-20"/>
    <s v="Pending"/>
    <s v="Delivered"/>
    <s v="High"/>
  </r>
  <r>
    <s v="ORD0249"/>
    <s v="Customer 249"/>
    <s v="086917652223"/>
    <x v="6"/>
    <s v="USB Cable"/>
    <n v="5"/>
    <n v="1425682"/>
    <n v="7128410"/>
    <s v="2025-09-07"/>
    <s v="Paid"/>
    <s v="Processing"/>
    <s v="High"/>
  </r>
  <r>
    <s v="ORD0250"/>
    <s v="Customer 250"/>
    <s v="082355189796"/>
    <x v="1"/>
    <s v="Laptop Stand"/>
    <n v="4"/>
    <n v="538320"/>
    <n v="2153280"/>
    <s v="2025-08-16"/>
    <s v="Pending"/>
    <s v="Shipped"/>
    <s v="High"/>
  </r>
  <r>
    <s v="ORD0251"/>
    <s v="Customer 251"/>
    <s v="083576476357"/>
    <x v="2"/>
    <s v="Monitor"/>
    <n v="1"/>
    <n v="206033"/>
    <n v="206033"/>
    <s v="2025-03-22"/>
    <s v="Pending"/>
    <s v="Delivered"/>
    <s v="Low"/>
  </r>
  <r>
    <s v="ORD0252"/>
    <s v="Customer 252"/>
    <s v="084689626674"/>
    <x v="0"/>
    <s v="Laptop Stand"/>
    <n v="3"/>
    <n v="165725"/>
    <n v="497175"/>
    <s v="2025-01-02"/>
    <s v="Pending"/>
    <s v="Processing"/>
    <s v="Low"/>
  </r>
  <r>
    <s v="ORD0253"/>
    <s v="Customer 253"/>
    <s v="086246713176"/>
    <x v="1"/>
    <s v="USB Cable"/>
    <n v="3"/>
    <n v="387928"/>
    <n v="1163784"/>
    <s v="2025-06-24"/>
    <s v="Pending"/>
    <s v="Processing"/>
    <s v="Medium"/>
  </r>
  <r>
    <s v="ORD0254"/>
    <s v="Customer 254"/>
    <s v="086719180425"/>
    <x v="2"/>
    <s v="Headset"/>
    <n v="2"/>
    <n v="236432"/>
    <n v="472864"/>
    <s v="2025-12-27"/>
    <s v="Paid"/>
    <s v="Processing"/>
    <s v="Low"/>
  </r>
  <r>
    <s v="ORD0255"/>
    <s v="Customer 255"/>
    <s v="086680669061"/>
    <x v="3"/>
    <s v="SSD"/>
    <n v="4"/>
    <n v="864265"/>
    <n v="3457060"/>
    <s v="2025-02-27"/>
    <s v="Paid"/>
    <s v="Processing"/>
    <s v="High"/>
  </r>
  <r>
    <s v="ORD0256"/>
    <s v="Customer 256"/>
    <s v="089710825162"/>
    <x v="6"/>
    <s v="Headset"/>
    <n v="2"/>
    <n v="86537"/>
    <n v="173074"/>
    <s v="2025-10-23"/>
    <s v="Paid"/>
    <s v="Processing"/>
    <s v="Low"/>
  </r>
  <r>
    <s v="ORD0257"/>
    <s v="Customer 257"/>
    <s v="082438761015"/>
    <x v="4"/>
    <s v="SSD"/>
    <n v="4"/>
    <n v="92880"/>
    <n v="371520"/>
    <s v="2025-03-25"/>
    <s v="Paid"/>
    <s v="Processing"/>
    <s v="Low"/>
  </r>
  <r>
    <s v="ORD0258"/>
    <s v="Customer 258"/>
    <s v="084983333852"/>
    <x v="2"/>
    <s v="Laptop Stand"/>
    <n v="4"/>
    <n v="1064100"/>
    <n v="4256400"/>
    <s v="2025-01-22"/>
    <s v="Paid"/>
    <s v="Processing"/>
    <s v="High"/>
  </r>
  <r>
    <s v="ORD0259"/>
    <s v="Customer 259"/>
    <s v="083159681983"/>
    <x v="3"/>
    <s v="Mouse"/>
    <n v="5"/>
    <n v="1476327"/>
    <n v="7381635"/>
    <s v="2025-06-16"/>
    <s v="Paid"/>
    <s v="Shipped"/>
    <s v="High"/>
  </r>
  <r>
    <s v="ORD0260"/>
    <s v="Customer 260"/>
    <s v="084224446830"/>
    <x v="1"/>
    <s v="USB Cable"/>
    <n v="1"/>
    <n v="636123"/>
    <n v="636123"/>
    <s v="2025-10-27"/>
    <s v="Pending"/>
    <s v="Shipped"/>
    <s v="Medium"/>
  </r>
  <r>
    <s v="ORD0261"/>
    <s v="Customer 261"/>
    <s v="081996679749"/>
    <x v="5"/>
    <s v="Keyboard"/>
    <n v="2"/>
    <n v="283804"/>
    <n v="567608"/>
    <s v="2025-01-16"/>
    <s v="Paid"/>
    <s v="Processing"/>
    <s v="Medium"/>
  </r>
  <r>
    <s v="ORD0262"/>
    <s v="Customer 262"/>
    <s v="088889630187"/>
    <x v="3"/>
    <s v="Mouse"/>
    <n v="5"/>
    <n v="796507"/>
    <n v="3982535"/>
    <s v="2025-12-17"/>
    <s v="Paid"/>
    <s v="Processing"/>
    <s v="High"/>
  </r>
  <r>
    <s v="ORD0263"/>
    <s v="Customer 263"/>
    <s v="081559722907"/>
    <x v="4"/>
    <s v="Keyboard"/>
    <n v="5"/>
    <n v="170074"/>
    <n v="850370"/>
    <s v="2025-12-19"/>
    <s v="Pending"/>
    <s v="Shipped"/>
    <s v="Medium"/>
  </r>
  <r>
    <s v="ORD0264"/>
    <s v="Customer 264"/>
    <s v="087620049983"/>
    <x v="1"/>
    <s v="Keyboard"/>
    <n v="3"/>
    <n v="1031658"/>
    <n v="3094974"/>
    <s v="2025-05-16"/>
    <s v="Pending"/>
    <s v="Shipped"/>
    <s v="High"/>
  </r>
  <r>
    <s v="ORD0265"/>
    <s v="Customer 265"/>
    <s v="089293211270"/>
    <x v="6"/>
    <s v="Mouse"/>
    <n v="2"/>
    <n v="1114094"/>
    <n v="2228188"/>
    <s v="2025-07-12"/>
    <s v="Paid"/>
    <s v="Shipped"/>
    <s v="High"/>
  </r>
  <r>
    <s v="ORD0266"/>
    <s v="Customer 266"/>
    <s v="089995038844"/>
    <x v="6"/>
    <s v="Monitor"/>
    <n v="1"/>
    <n v="456631"/>
    <n v="456631"/>
    <s v="2025-08-13"/>
    <s v="Paid"/>
    <s v="Delivered"/>
    <s v="Low"/>
  </r>
  <r>
    <s v="ORD0267"/>
    <s v="Customer 267"/>
    <s v="084033569575"/>
    <x v="2"/>
    <s v="Monitor"/>
    <n v="3"/>
    <n v="925994"/>
    <n v="2777982"/>
    <s v="2025-12-03"/>
    <s v="Pending"/>
    <s v="Delivered"/>
    <s v="High"/>
  </r>
  <r>
    <s v="ORD0268"/>
    <s v="Customer 268"/>
    <s v="087481681831"/>
    <x v="2"/>
    <s v="Mouse"/>
    <n v="1"/>
    <n v="1430321"/>
    <n v="1430321"/>
    <s v="2025-11-06"/>
    <s v="Paid"/>
    <s v="Shipped"/>
    <s v="Medium"/>
  </r>
  <r>
    <s v="ORD0269"/>
    <s v="Customer 269"/>
    <s v="089368964605"/>
    <x v="6"/>
    <s v="SSD"/>
    <n v="2"/>
    <n v="607789"/>
    <n v="1215578"/>
    <s v="2025-09-10"/>
    <s v="Pending"/>
    <s v="Shipped"/>
    <s v="Medium"/>
  </r>
  <r>
    <s v="ORD0270"/>
    <s v="Customer 270"/>
    <s v="083449841016"/>
    <x v="5"/>
    <s v="Mouse"/>
    <n v="1"/>
    <n v="753598"/>
    <n v="753598"/>
    <s v="2025-09-27"/>
    <s v="Paid"/>
    <s v="Processing"/>
    <s v="Medium"/>
  </r>
  <r>
    <s v="ORD0271"/>
    <s v="Customer 271"/>
    <s v="083800784289"/>
    <x v="0"/>
    <s v="SSD"/>
    <n v="5"/>
    <n v="661792"/>
    <n v="3308960"/>
    <s v="2025-01-19"/>
    <s v="Pending"/>
    <s v="Processing"/>
    <s v="High"/>
  </r>
  <r>
    <s v="ORD0272"/>
    <s v="Customer 272"/>
    <s v="087077184946"/>
    <x v="5"/>
    <s v="Mouse"/>
    <n v="1"/>
    <n v="423958"/>
    <n v="423958"/>
    <s v="2025-08-03"/>
    <s v="Pending"/>
    <s v="Shipped"/>
    <s v="Low"/>
  </r>
  <r>
    <s v="ORD0273"/>
    <s v="Customer 273"/>
    <s v="083198562642"/>
    <x v="0"/>
    <s v="Monitor"/>
    <n v="2"/>
    <n v="1318896"/>
    <n v="2637792"/>
    <s v="2025-06-25"/>
    <s v="Pending"/>
    <s v="Processing"/>
    <s v="High"/>
  </r>
  <r>
    <s v="ORD0274"/>
    <s v="Customer 274"/>
    <s v="089054134620"/>
    <x v="4"/>
    <s v="USB Cable"/>
    <n v="1"/>
    <n v="886305"/>
    <n v="886305"/>
    <s v="2025-12-18"/>
    <s v="Paid"/>
    <s v="Delivered"/>
    <s v="Medium"/>
  </r>
  <r>
    <s v="ORD0275"/>
    <s v="Customer 275"/>
    <s v="085937613913"/>
    <x v="4"/>
    <s v="Mouse"/>
    <n v="5"/>
    <n v="59040"/>
    <n v="295200"/>
    <s v="2025-06-20"/>
    <s v="Paid"/>
    <s v="Shipped"/>
    <s v="Low"/>
  </r>
  <r>
    <s v="ORD0276"/>
    <s v="Customer 276"/>
    <s v="089602503233"/>
    <x v="6"/>
    <s v="Laptop Stand"/>
    <n v="3"/>
    <n v="1032187"/>
    <n v="3096561"/>
    <s v="2025-03-15"/>
    <s v="Pending"/>
    <s v="Shipped"/>
    <s v="High"/>
  </r>
  <r>
    <s v="ORD0277"/>
    <s v="Customer 277"/>
    <s v="086675222498"/>
    <x v="2"/>
    <s v="Mouse"/>
    <n v="3"/>
    <n v="811796"/>
    <n v="2435388"/>
    <s v="2025-10-06"/>
    <s v="Paid"/>
    <s v="Delivered"/>
    <s v="High"/>
  </r>
  <r>
    <s v="ORD0278"/>
    <s v="Customer 278"/>
    <s v="085890457123"/>
    <x v="4"/>
    <s v="Keyboard"/>
    <n v="4"/>
    <n v="159471"/>
    <n v="637884"/>
    <s v="2025-04-09"/>
    <s v="Pending"/>
    <s v="Shipped"/>
    <s v="Medium"/>
  </r>
  <r>
    <s v="ORD0279"/>
    <s v="Customer 279"/>
    <s v="089951596842"/>
    <x v="4"/>
    <s v="Laptop Stand"/>
    <n v="5"/>
    <n v="799533"/>
    <n v="3997665"/>
    <s v="2025-10-19"/>
    <s v="Paid"/>
    <s v="Delivered"/>
    <s v="High"/>
  </r>
  <r>
    <s v="ORD0280"/>
    <s v="Customer 280"/>
    <s v="084379873561"/>
    <x v="1"/>
    <s v="Laptop Stand"/>
    <n v="1"/>
    <n v="310307"/>
    <n v="310307"/>
    <s v="2025-08-31"/>
    <s v="Paid"/>
    <s v="Shipped"/>
    <s v="Low"/>
  </r>
  <r>
    <s v="ORD0281"/>
    <s v="Customer 281"/>
    <s v="088713727646"/>
    <x v="4"/>
    <s v="SSD"/>
    <n v="3"/>
    <n v="446186"/>
    <n v="1338558"/>
    <s v="2025-09-26"/>
    <s v="Pending"/>
    <s v="Processing"/>
    <s v="Medium"/>
  </r>
  <r>
    <s v="ORD0282"/>
    <s v="Customer 282"/>
    <s v="089263505792"/>
    <x v="2"/>
    <s v="Monitor"/>
    <n v="1"/>
    <n v="802628"/>
    <n v="802628"/>
    <s v="2025-10-12"/>
    <s v="Paid"/>
    <s v="Processing"/>
    <s v="Medium"/>
  </r>
  <r>
    <s v="ORD0283"/>
    <s v="Customer 283"/>
    <s v="088931504219"/>
    <x v="3"/>
    <s v="Headset"/>
    <n v="5"/>
    <n v="166977"/>
    <n v="834885"/>
    <s v="2025-03-26"/>
    <s v="Pending"/>
    <s v="Processing"/>
    <s v="Medium"/>
  </r>
  <r>
    <s v="ORD0284"/>
    <s v="Customer 284"/>
    <s v="088123227439"/>
    <x v="4"/>
    <s v="Keyboard"/>
    <n v="5"/>
    <n v="399144"/>
    <n v="1995720"/>
    <s v="2025-12-19"/>
    <s v="Paid"/>
    <s v="Shipped"/>
    <s v="Medium"/>
  </r>
  <r>
    <s v="ORD0285"/>
    <s v="Customer 285"/>
    <s v="082118009540"/>
    <x v="0"/>
    <s v="SSD"/>
    <n v="1"/>
    <n v="461462"/>
    <n v="461462"/>
    <s v="2025-01-10"/>
    <s v="Pending"/>
    <s v="Shipped"/>
    <s v="Low"/>
  </r>
  <r>
    <s v="ORD0286"/>
    <s v="Customer 286"/>
    <s v="084805773863"/>
    <x v="3"/>
    <s v="SSD"/>
    <n v="4"/>
    <n v="935904"/>
    <n v="3743616"/>
    <s v="2025-11-19"/>
    <s v="Pending"/>
    <s v="Delivered"/>
    <s v="High"/>
  </r>
  <r>
    <s v="ORD0287"/>
    <s v="Customer 287"/>
    <s v="089951550673"/>
    <x v="4"/>
    <s v="Monitor"/>
    <n v="4"/>
    <n v="758195"/>
    <n v="3032780"/>
    <s v="2025-04-17"/>
    <s v="Paid"/>
    <s v="Processing"/>
    <s v="High"/>
  </r>
  <r>
    <s v="ORD0288"/>
    <s v="Customer 288"/>
    <s v="089650709394"/>
    <x v="2"/>
    <s v="Headset"/>
    <n v="2"/>
    <n v="87881"/>
    <n v="175762"/>
    <s v="2025-06-02"/>
    <s v="Pending"/>
    <s v="Shipped"/>
    <s v="Low"/>
  </r>
  <r>
    <s v="ORD0289"/>
    <s v="Customer 289"/>
    <s v="084416162155"/>
    <x v="2"/>
    <s v="Headset"/>
    <n v="1"/>
    <n v="969062"/>
    <n v="969062"/>
    <s v="2025-11-14"/>
    <s v="Pending"/>
    <s v="Processing"/>
    <s v="Medium"/>
  </r>
  <r>
    <s v="ORD0290"/>
    <s v="Customer 290"/>
    <s v="081394627588"/>
    <x v="1"/>
    <s v="SSD"/>
    <n v="1"/>
    <n v="866453"/>
    <n v="866453"/>
    <s v="2025-12-02"/>
    <s v="Pending"/>
    <s v="Delivered"/>
    <s v="Medium"/>
  </r>
  <r>
    <s v="ORD0291"/>
    <s v="Customer 291"/>
    <s v="088674453814"/>
    <x v="1"/>
    <s v="Mouse"/>
    <n v="5"/>
    <n v="1163338"/>
    <n v="5816690"/>
    <s v="2025-05-22"/>
    <s v="Pending"/>
    <s v="Shipped"/>
    <s v="High"/>
  </r>
  <r>
    <s v="ORD0292"/>
    <s v="Customer 292"/>
    <s v="083327461366"/>
    <x v="6"/>
    <s v="Laptop Stand"/>
    <n v="3"/>
    <n v="529514"/>
    <n v="1588542"/>
    <s v="2025-01-12"/>
    <s v="Paid"/>
    <s v="Delivered"/>
    <s v="Medium"/>
  </r>
  <r>
    <s v="ORD0293"/>
    <s v="Customer 293"/>
    <s v="088682221772"/>
    <x v="0"/>
    <s v="Headset"/>
    <n v="3"/>
    <n v="232854"/>
    <n v="698562"/>
    <s v="2025-07-29"/>
    <s v="Paid"/>
    <s v="Delivered"/>
    <s v="Medium"/>
  </r>
  <r>
    <s v="ORD0294"/>
    <s v="Customer 294"/>
    <s v="084172851849"/>
    <x v="2"/>
    <s v="SSD"/>
    <n v="4"/>
    <n v="121661"/>
    <n v="486644"/>
    <s v="2025-07-06"/>
    <s v="Pending"/>
    <s v="Processing"/>
    <s v="Low"/>
  </r>
  <r>
    <s v="ORD0295"/>
    <s v="Customer 295"/>
    <s v="088306758374"/>
    <x v="0"/>
    <s v="Laptop Stand"/>
    <n v="4"/>
    <n v="769547"/>
    <n v="3078188"/>
    <s v="2025-01-01"/>
    <s v="Paid"/>
    <s v="Shipped"/>
    <s v="High"/>
  </r>
  <r>
    <s v="ORD0296"/>
    <s v="Customer 296"/>
    <s v="081597763243"/>
    <x v="2"/>
    <s v="Monitor"/>
    <n v="2"/>
    <n v="455245"/>
    <n v="910490"/>
    <s v="2025-11-27"/>
    <s v="Paid"/>
    <s v="Shipped"/>
    <s v="Medium"/>
  </r>
  <r>
    <s v="ORD0297"/>
    <s v="Customer 297"/>
    <s v="088883462340"/>
    <x v="1"/>
    <s v="Headset"/>
    <n v="5"/>
    <n v="487793"/>
    <n v="2438965"/>
    <s v="2025-07-24"/>
    <s v="Paid"/>
    <s v="Shipped"/>
    <s v="High"/>
  </r>
  <r>
    <s v="ORD0298"/>
    <s v="Customer 298"/>
    <s v="082255864934"/>
    <x v="4"/>
    <s v="Headset"/>
    <n v="5"/>
    <n v="1472410"/>
    <n v="7362050"/>
    <s v="2025-05-04"/>
    <s v="Paid"/>
    <s v="Shipped"/>
    <s v="High"/>
  </r>
  <r>
    <s v="ORD0299"/>
    <s v="Customer 299"/>
    <s v="085385347986"/>
    <x v="0"/>
    <s v="Keyboard"/>
    <n v="3"/>
    <n v="426450"/>
    <n v="1279350"/>
    <s v="2025-07-18"/>
    <s v="Pending"/>
    <s v="Processing"/>
    <s v="Medium"/>
  </r>
  <r>
    <s v="ORD0300"/>
    <s v="Customer 300"/>
    <s v="088490420636"/>
    <x v="2"/>
    <s v="Mouse"/>
    <n v="4"/>
    <n v="143530"/>
    <n v="574120"/>
    <s v="2025-12-27"/>
    <s v="Paid"/>
    <s v="Shipped"/>
    <s v="Medium"/>
  </r>
  <r>
    <s v="ORD0301"/>
    <s v="Customer 301"/>
    <s v="081106440304"/>
    <x v="0"/>
    <s v="Headset"/>
    <n v="3"/>
    <n v="891982"/>
    <n v="2675946"/>
    <s v="2025-10-17"/>
    <s v="Pending"/>
    <s v="Processing"/>
    <s v="High"/>
  </r>
  <r>
    <s v="ORD0302"/>
    <s v="Customer 302"/>
    <s v="086096799842"/>
    <x v="1"/>
    <s v="Keyboard"/>
    <n v="2"/>
    <n v="411850"/>
    <n v="823700"/>
    <s v="2025-11-11"/>
    <s v="Paid"/>
    <s v="Delivered"/>
    <s v="Medium"/>
  </r>
  <r>
    <s v="ORD0303"/>
    <s v="Customer 303"/>
    <s v="081747371019"/>
    <x v="1"/>
    <s v="Headset"/>
    <n v="2"/>
    <n v="970313"/>
    <n v="1940626"/>
    <s v="2025-10-31"/>
    <s v="Pending"/>
    <s v="Delivered"/>
    <s v="Medium"/>
  </r>
  <r>
    <s v="ORD0304"/>
    <s v="Customer 304"/>
    <s v="084672498255"/>
    <x v="6"/>
    <s v="Laptop Stand"/>
    <n v="1"/>
    <n v="99703"/>
    <n v="99703"/>
    <s v="2025-03-26"/>
    <s v="Paid"/>
    <s v="Processing"/>
    <s v="Low"/>
  </r>
  <r>
    <s v="ORD0305"/>
    <s v="Customer 305"/>
    <s v="082960218914"/>
    <x v="4"/>
    <s v="Headset"/>
    <n v="2"/>
    <n v="60027"/>
    <n v="120054"/>
    <s v="2025-02-07"/>
    <s v="Paid"/>
    <s v="Processing"/>
    <s v="Low"/>
  </r>
  <r>
    <s v="ORD0306"/>
    <s v="Customer 306"/>
    <s v="088821607774"/>
    <x v="5"/>
    <s v="Laptop Stand"/>
    <n v="5"/>
    <n v="54025"/>
    <n v="270125"/>
    <s v="2025-10-08"/>
    <s v="Pending"/>
    <s v="Shipped"/>
    <s v="Low"/>
  </r>
  <r>
    <s v="ORD0307"/>
    <s v="Customer 307"/>
    <s v="085043301270"/>
    <x v="2"/>
    <s v="SSD"/>
    <n v="2"/>
    <n v="260939"/>
    <n v="521878"/>
    <s v="2025-12-19"/>
    <s v="Pending"/>
    <s v="Processing"/>
    <s v="Medium"/>
  </r>
  <r>
    <s v="ORD0308"/>
    <s v="Customer 308"/>
    <s v="085560076625"/>
    <x v="1"/>
    <s v="USB Cable"/>
    <n v="3"/>
    <n v="322988"/>
    <n v="968964"/>
    <s v="2025-03-30"/>
    <s v="Pending"/>
    <s v="Processing"/>
    <s v="Medium"/>
  </r>
  <r>
    <s v="ORD0309"/>
    <s v="Customer 309"/>
    <s v="088471797403"/>
    <x v="6"/>
    <s v="USB Cable"/>
    <n v="5"/>
    <n v="1247209"/>
    <n v="6236045"/>
    <s v="2025-04-18"/>
    <s v="Pending"/>
    <s v="Delivered"/>
    <s v="High"/>
  </r>
  <r>
    <s v="ORD0310"/>
    <s v="Customer 310"/>
    <s v="082094213179"/>
    <x v="3"/>
    <s v="Laptop Stand"/>
    <n v="3"/>
    <n v="1194002"/>
    <n v="3582006"/>
    <s v="2025-06-14"/>
    <s v="Paid"/>
    <s v="Delivered"/>
    <s v="High"/>
  </r>
  <r>
    <s v="ORD0311"/>
    <s v="Customer 311"/>
    <s v="083201416782"/>
    <x v="6"/>
    <s v="Headset"/>
    <n v="5"/>
    <n v="1192031"/>
    <n v="5960155"/>
    <s v="2025-01-08"/>
    <s v="Paid"/>
    <s v="Delivered"/>
    <s v="High"/>
  </r>
  <r>
    <s v="ORD0312"/>
    <s v="Customer 312"/>
    <s v="084962299540"/>
    <x v="1"/>
    <s v="Monitor"/>
    <n v="4"/>
    <n v="497126"/>
    <n v="1988504"/>
    <s v="2025-03-22"/>
    <s v="Pending"/>
    <s v="Processing"/>
    <s v="Medium"/>
  </r>
  <r>
    <s v="ORD0313"/>
    <s v="Customer 313"/>
    <s v="081608462796"/>
    <x v="6"/>
    <s v="SSD"/>
    <n v="2"/>
    <n v="1244846"/>
    <n v="2489692"/>
    <s v="2025-01-20"/>
    <s v="Paid"/>
    <s v="Shipped"/>
    <s v="High"/>
  </r>
  <r>
    <s v="ORD0314"/>
    <s v="Customer 314"/>
    <s v="089084416282"/>
    <x v="5"/>
    <s v="SSD"/>
    <n v="4"/>
    <n v="836308"/>
    <n v="3345232"/>
    <s v="2025-11-18"/>
    <s v="Pending"/>
    <s v="Processing"/>
    <s v="High"/>
  </r>
  <r>
    <s v="ORD0315"/>
    <s v="Customer 315"/>
    <s v="087166038265"/>
    <x v="4"/>
    <s v="Mouse"/>
    <n v="1"/>
    <n v="1058461"/>
    <n v="1058461"/>
    <s v="2025-05-08"/>
    <s v="Pending"/>
    <s v="Processing"/>
    <s v="Medium"/>
  </r>
  <r>
    <s v="ORD0316"/>
    <s v="Customer 316"/>
    <s v="082089751457"/>
    <x v="6"/>
    <s v="Laptop Stand"/>
    <n v="4"/>
    <n v="1410971"/>
    <n v="5643884"/>
    <s v="2025-05-17"/>
    <s v="Paid"/>
    <s v="Delivered"/>
    <s v="High"/>
  </r>
  <r>
    <s v="ORD0317"/>
    <s v="Customer 317"/>
    <s v="081899729601"/>
    <x v="0"/>
    <s v="Mouse"/>
    <n v="1"/>
    <n v="494794"/>
    <n v="494794"/>
    <s v="2025-07-19"/>
    <s v="Paid"/>
    <s v="Processing"/>
    <s v="Low"/>
  </r>
  <r>
    <s v="ORD0318"/>
    <s v="Customer 318"/>
    <s v="086111435376"/>
    <x v="6"/>
    <s v="Monitor"/>
    <n v="1"/>
    <n v="191898"/>
    <n v="191898"/>
    <s v="2025-03-19"/>
    <s v="Paid"/>
    <s v="Processing"/>
    <s v="Low"/>
  </r>
  <r>
    <s v="ORD0319"/>
    <s v="Customer 319"/>
    <s v="087358046267"/>
    <x v="6"/>
    <s v="Monitor"/>
    <n v="2"/>
    <n v="679797"/>
    <n v="1359594"/>
    <s v="2025-04-30"/>
    <s v="Pending"/>
    <s v="Processing"/>
    <s v="Medium"/>
  </r>
  <r>
    <s v="ORD0320"/>
    <s v="Customer 320"/>
    <s v="088700698124"/>
    <x v="4"/>
    <s v="Mouse"/>
    <n v="1"/>
    <n v="568937"/>
    <n v="568937"/>
    <s v="2025-04-22"/>
    <s v="Pending"/>
    <s v="Shipped"/>
    <s v="Medium"/>
  </r>
  <r>
    <s v="ORD0321"/>
    <s v="Customer 321"/>
    <s v="084234769042"/>
    <x v="6"/>
    <s v="Keyboard"/>
    <n v="2"/>
    <n v="619441"/>
    <n v="1238882"/>
    <s v="2025-10-06"/>
    <s v="Pending"/>
    <s v="Delivered"/>
    <s v="Medium"/>
  </r>
  <r>
    <s v="ORD0322"/>
    <s v="Customer 322"/>
    <s v="089790374377"/>
    <x v="0"/>
    <s v="Headset"/>
    <n v="3"/>
    <n v="94339"/>
    <n v="283017"/>
    <s v="2025-07-30"/>
    <s v="Paid"/>
    <s v="Delivered"/>
    <s v="Low"/>
  </r>
  <r>
    <s v="ORD0323"/>
    <s v="Customer 323"/>
    <s v="084014760522"/>
    <x v="2"/>
    <s v="Mouse"/>
    <n v="4"/>
    <n v="879121"/>
    <n v="3516484"/>
    <s v="2025-01-11"/>
    <s v="Paid"/>
    <s v="Processing"/>
    <s v="High"/>
  </r>
  <r>
    <s v="ORD0324"/>
    <s v="Customer 324"/>
    <s v="082902108550"/>
    <x v="0"/>
    <s v="Keyboard"/>
    <n v="5"/>
    <n v="880286"/>
    <n v="4401430"/>
    <s v="2025-09-13"/>
    <s v="Pending"/>
    <s v="Processing"/>
    <s v="High"/>
  </r>
  <r>
    <s v="ORD0325"/>
    <s v="Customer 325"/>
    <s v="081520382967"/>
    <x v="2"/>
    <s v="Headset"/>
    <n v="2"/>
    <n v="1430667"/>
    <n v="2861334"/>
    <s v="2025-01-19"/>
    <s v="Pending"/>
    <s v="Processing"/>
    <s v="High"/>
  </r>
  <r>
    <s v="ORD0326"/>
    <s v="Customer 326"/>
    <s v="086625636299"/>
    <x v="1"/>
    <s v="Mouse"/>
    <n v="5"/>
    <n v="72482"/>
    <n v="362410"/>
    <s v="2025-09-01"/>
    <s v="Pending"/>
    <s v="Shipped"/>
    <s v="Low"/>
  </r>
  <r>
    <s v="ORD0327"/>
    <s v="Customer 327"/>
    <s v="083601276751"/>
    <x v="3"/>
    <s v="Monitor"/>
    <n v="4"/>
    <n v="876934"/>
    <n v="3507736"/>
    <s v="2025-05-12"/>
    <s v="Paid"/>
    <s v="Processing"/>
    <s v="High"/>
  </r>
  <r>
    <s v="ORD0328"/>
    <s v="Customer 328"/>
    <s v="083946529470"/>
    <x v="4"/>
    <s v="Headset"/>
    <n v="1"/>
    <n v="1232344"/>
    <n v="1232344"/>
    <s v="2025-12-12"/>
    <s v="Paid"/>
    <s v="Processing"/>
    <s v="Medium"/>
  </r>
  <r>
    <s v="ORD0329"/>
    <s v="Customer 329"/>
    <s v="086229203970"/>
    <x v="5"/>
    <s v="Keyboard"/>
    <n v="3"/>
    <n v="1312676"/>
    <n v="3938028"/>
    <s v="2025-05-18"/>
    <s v="Paid"/>
    <s v="Delivered"/>
    <s v="High"/>
  </r>
  <r>
    <s v="ORD0330"/>
    <s v="Customer 330"/>
    <s v="086669751828"/>
    <x v="5"/>
    <s v="Mouse"/>
    <n v="2"/>
    <n v="906039"/>
    <n v="1812078"/>
    <s v="2025-04-24"/>
    <s v="Pending"/>
    <s v="Delivered"/>
    <s v="Medium"/>
  </r>
  <r>
    <s v="ORD0331"/>
    <s v="Customer 331"/>
    <s v="088169744115"/>
    <x v="0"/>
    <s v="Monitor"/>
    <n v="5"/>
    <n v="685250"/>
    <n v="3426250"/>
    <s v="2025-08-03"/>
    <s v="Paid"/>
    <s v="Shipped"/>
    <s v="High"/>
  </r>
  <r>
    <s v="ORD0332"/>
    <s v="Customer 332"/>
    <s v="086555179738"/>
    <x v="2"/>
    <s v="SSD"/>
    <n v="1"/>
    <n v="1054074"/>
    <n v="1054074"/>
    <s v="2025-09-06"/>
    <s v="Paid"/>
    <s v="Delivered"/>
    <s v="Medium"/>
  </r>
  <r>
    <s v="ORD0333"/>
    <s v="Customer 333"/>
    <s v="089958683985"/>
    <x v="1"/>
    <s v="Mouse"/>
    <n v="4"/>
    <n v="965020"/>
    <n v="3860080"/>
    <s v="2025-03-10"/>
    <s v="Paid"/>
    <s v="Processing"/>
    <s v="High"/>
  </r>
  <r>
    <s v="ORD0334"/>
    <s v="Customer 334"/>
    <s v="087488050813"/>
    <x v="4"/>
    <s v="SSD"/>
    <n v="4"/>
    <n v="1388483"/>
    <n v="5553932"/>
    <s v="2025-11-24"/>
    <s v="Paid"/>
    <s v="Shipped"/>
    <s v="High"/>
  </r>
  <r>
    <s v="ORD0335"/>
    <s v="Customer 335"/>
    <s v="082956464739"/>
    <x v="5"/>
    <s v="USB Cable"/>
    <n v="4"/>
    <n v="288998"/>
    <n v="1155992"/>
    <s v="2025-04-16"/>
    <s v="Paid"/>
    <s v="Shipped"/>
    <s v="Medium"/>
  </r>
  <r>
    <s v="ORD0336"/>
    <s v="Customer 336"/>
    <s v="089905692242"/>
    <x v="2"/>
    <s v="Laptop Stand"/>
    <n v="1"/>
    <n v="835286"/>
    <n v="835286"/>
    <s v="2025-03-24"/>
    <s v="Pending"/>
    <s v="Delivered"/>
    <s v="Medium"/>
  </r>
  <r>
    <s v="ORD0337"/>
    <s v="Customer 337"/>
    <s v="087374025721"/>
    <x v="3"/>
    <s v="Monitor"/>
    <n v="3"/>
    <n v="389412"/>
    <n v="1168236"/>
    <s v="2025-04-01"/>
    <s v="Paid"/>
    <s v="Shipped"/>
    <s v="Medium"/>
  </r>
  <r>
    <s v="ORD0338"/>
    <s v="Customer 338"/>
    <s v="083042365526"/>
    <x v="1"/>
    <s v="Headset"/>
    <n v="5"/>
    <n v="271057"/>
    <n v="1355285"/>
    <s v="2025-05-31"/>
    <s v="Pending"/>
    <s v="Processing"/>
    <s v="Medium"/>
  </r>
  <r>
    <s v="ORD0339"/>
    <s v="Customer 339"/>
    <s v="083103085179"/>
    <x v="3"/>
    <s v="SSD"/>
    <n v="2"/>
    <n v="384801"/>
    <n v="769602"/>
    <s v="2025-09-15"/>
    <s v="Pending"/>
    <s v="Processing"/>
    <s v="Medium"/>
  </r>
  <r>
    <s v="ORD0340"/>
    <s v="Customer 340"/>
    <s v="081306187710"/>
    <x v="0"/>
    <s v="SSD"/>
    <n v="1"/>
    <n v="949817"/>
    <n v="949817"/>
    <s v="2025-03-15"/>
    <s v="Paid"/>
    <s v="Shipped"/>
    <s v="Medium"/>
  </r>
  <r>
    <s v="ORD0341"/>
    <s v="Customer 341"/>
    <s v="085669888661"/>
    <x v="0"/>
    <s v="Laptop Stand"/>
    <n v="4"/>
    <n v="547396"/>
    <n v="2189584"/>
    <s v="2025-04-29"/>
    <s v="Pending"/>
    <s v="Processing"/>
    <s v="High"/>
  </r>
  <r>
    <s v="ORD0342"/>
    <s v="Customer 342"/>
    <s v="082805554872"/>
    <x v="1"/>
    <s v="SSD"/>
    <n v="3"/>
    <n v="91905"/>
    <n v="275715"/>
    <s v="2025-05-24"/>
    <s v="Pending"/>
    <s v="Delivered"/>
    <s v="Low"/>
  </r>
  <r>
    <s v="ORD0343"/>
    <s v="Customer 343"/>
    <s v="086524255530"/>
    <x v="6"/>
    <s v="Laptop Stand"/>
    <n v="5"/>
    <n v="480503"/>
    <n v="2402515"/>
    <s v="2025-02-21"/>
    <s v="Pending"/>
    <s v="Shipped"/>
    <s v="High"/>
  </r>
  <r>
    <s v="ORD0344"/>
    <s v="Customer 344"/>
    <s v="081373043564"/>
    <x v="3"/>
    <s v="Laptop Stand"/>
    <n v="2"/>
    <n v="1046817"/>
    <n v="2093634"/>
    <s v="2025-07-19"/>
    <s v="Paid"/>
    <s v="Shipped"/>
    <s v="High"/>
  </r>
  <r>
    <s v="ORD0345"/>
    <s v="Customer 345"/>
    <s v="086760824189"/>
    <x v="2"/>
    <s v="Monitor"/>
    <n v="3"/>
    <n v="665737"/>
    <n v="1997211"/>
    <s v="2025-01-27"/>
    <s v="Pending"/>
    <s v="Shipped"/>
    <s v="Medium"/>
  </r>
  <r>
    <s v="ORD0346"/>
    <s v="Customer 346"/>
    <s v="082729550533"/>
    <x v="0"/>
    <s v="Keyboard"/>
    <n v="2"/>
    <n v="239802"/>
    <n v="479604"/>
    <s v="2025-03-14"/>
    <s v="Paid"/>
    <s v="Delivered"/>
    <s v="Low"/>
  </r>
  <r>
    <s v="ORD0347"/>
    <s v="Customer 347"/>
    <s v="086887018350"/>
    <x v="3"/>
    <s v="Mouse"/>
    <n v="3"/>
    <n v="750318"/>
    <n v="2250954"/>
    <s v="2025-07-16"/>
    <s v="Pending"/>
    <s v="Shipped"/>
    <s v="High"/>
  </r>
  <r>
    <s v="ORD0348"/>
    <s v="Customer 348"/>
    <s v="089804386425"/>
    <x v="3"/>
    <s v="Monitor"/>
    <n v="3"/>
    <n v="258478"/>
    <n v="775434"/>
    <s v="2025-11-06"/>
    <s v="Pending"/>
    <s v="Shipped"/>
    <s v="Medium"/>
  </r>
  <r>
    <s v="ORD0349"/>
    <s v="Customer 349"/>
    <s v="089247122693"/>
    <x v="0"/>
    <s v="Headset"/>
    <n v="3"/>
    <n v="554535"/>
    <n v="1663605"/>
    <s v="2025-02-06"/>
    <s v="Paid"/>
    <s v="Processing"/>
    <s v="Medium"/>
  </r>
  <r>
    <s v="ORD0350"/>
    <s v="Customer 350"/>
    <s v="088476000246"/>
    <x v="3"/>
    <s v="Headset"/>
    <n v="3"/>
    <n v="1053475"/>
    <n v="3160425"/>
    <s v="2025-01-03"/>
    <s v="Paid"/>
    <s v="Shipped"/>
    <s v="High"/>
  </r>
  <r>
    <s v="ORD0351"/>
    <s v="Customer 351"/>
    <s v="088165557862"/>
    <x v="5"/>
    <s v="Mouse"/>
    <n v="2"/>
    <n v="1398422"/>
    <n v="2796844"/>
    <s v="2025-04-17"/>
    <s v="Paid"/>
    <s v="Delivered"/>
    <s v="High"/>
  </r>
  <r>
    <s v="ORD0352"/>
    <s v="Customer 352"/>
    <s v="081255020626"/>
    <x v="2"/>
    <s v="Headset"/>
    <n v="3"/>
    <n v="1413417"/>
    <n v="4240251"/>
    <s v="2025-12-27"/>
    <s v="Pending"/>
    <s v="Shipped"/>
    <s v="High"/>
  </r>
  <r>
    <s v="ORD0353"/>
    <s v="Customer 353"/>
    <s v="085061862949"/>
    <x v="3"/>
    <s v="Laptop Stand"/>
    <n v="4"/>
    <n v="402814"/>
    <n v="1611256"/>
    <s v="2025-10-28"/>
    <s v="Pending"/>
    <s v="Shipped"/>
    <s v="Medium"/>
  </r>
  <r>
    <s v="ORD0354"/>
    <s v="Customer 354"/>
    <s v="086677229821"/>
    <x v="1"/>
    <s v="Mouse"/>
    <n v="5"/>
    <n v="1411137"/>
    <n v="7055685"/>
    <s v="2025-04-24"/>
    <s v="Paid"/>
    <s v="Processing"/>
    <s v="High"/>
  </r>
  <r>
    <s v="ORD0355"/>
    <s v="Customer 355"/>
    <s v="082556609734"/>
    <x v="4"/>
    <s v="Monitor"/>
    <n v="1"/>
    <n v="813419"/>
    <n v="813419"/>
    <s v="2025-11-30"/>
    <s v="Pending"/>
    <s v="Processing"/>
    <s v="Medium"/>
  </r>
  <r>
    <s v="ORD0356"/>
    <s v="Customer 356"/>
    <s v="083036169921"/>
    <x v="3"/>
    <s v="Mouse"/>
    <n v="4"/>
    <n v="881802"/>
    <n v="3527208"/>
    <s v="2025-03-17"/>
    <s v="Paid"/>
    <s v="Shipped"/>
    <s v="High"/>
  </r>
  <r>
    <s v="ORD0357"/>
    <s v="Customer 357"/>
    <s v="087809386374"/>
    <x v="5"/>
    <s v="Headset"/>
    <n v="2"/>
    <n v="1051423"/>
    <n v="2102846"/>
    <s v="2025-10-01"/>
    <s v="Paid"/>
    <s v="Delivered"/>
    <s v="High"/>
  </r>
  <r>
    <s v="ORD0358"/>
    <s v="Customer 358"/>
    <s v="083037549910"/>
    <x v="3"/>
    <s v="Monitor"/>
    <n v="5"/>
    <n v="979307"/>
    <n v="4896535"/>
    <s v="2025-11-26"/>
    <s v="Pending"/>
    <s v="Delivered"/>
    <s v="High"/>
  </r>
  <r>
    <s v="ORD0359"/>
    <s v="Customer 359"/>
    <s v="088484471104"/>
    <x v="4"/>
    <s v="Laptop Stand"/>
    <n v="5"/>
    <n v="937332"/>
    <n v="4686660"/>
    <s v="2025-01-22"/>
    <s v="Paid"/>
    <s v="Delivered"/>
    <s v="High"/>
  </r>
  <r>
    <s v="ORD0360"/>
    <s v="Customer 360"/>
    <s v="088256283091"/>
    <x v="0"/>
    <s v="USB Cable"/>
    <n v="3"/>
    <n v="396792"/>
    <n v="1190376"/>
    <s v="2025-07-27"/>
    <s v="Paid"/>
    <s v="Processing"/>
    <s v="Medium"/>
  </r>
  <r>
    <s v="ORD0361"/>
    <s v="Customer 361"/>
    <s v="082245078209"/>
    <x v="0"/>
    <s v="Mouse"/>
    <n v="2"/>
    <n v="1251079"/>
    <n v="2502158"/>
    <s v="2025-04-13"/>
    <s v="Pending"/>
    <s v="Processing"/>
    <s v="High"/>
  </r>
  <r>
    <s v="ORD0362"/>
    <s v="Customer 362"/>
    <s v="088086058690"/>
    <x v="6"/>
    <s v="Mouse"/>
    <n v="2"/>
    <n v="545087"/>
    <n v="1090174"/>
    <s v="2025-02-27"/>
    <s v="Pending"/>
    <s v="Processing"/>
    <s v="Medium"/>
  </r>
  <r>
    <s v="ORD0363"/>
    <s v="Customer 363"/>
    <s v="086382589721"/>
    <x v="1"/>
    <s v="USB Cable"/>
    <n v="3"/>
    <n v="176983"/>
    <n v="530949"/>
    <s v="2025-03-16"/>
    <s v="Paid"/>
    <s v="Delivered"/>
    <s v="Medium"/>
  </r>
  <r>
    <s v="ORD0364"/>
    <s v="Customer 364"/>
    <s v="089403552549"/>
    <x v="1"/>
    <s v="Laptop Stand"/>
    <n v="4"/>
    <n v="89711"/>
    <n v="358844"/>
    <s v="2025-04-14"/>
    <s v="Pending"/>
    <s v="Processing"/>
    <s v="Low"/>
  </r>
  <r>
    <s v="ORD0365"/>
    <s v="Customer 365"/>
    <s v="081299624278"/>
    <x v="2"/>
    <s v="Keyboard"/>
    <n v="2"/>
    <n v="1054460"/>
    <n v="2108920"/>
    <s v="2025-02-07"/>
    <s v="Pending"/>
    <s v="Processing"/>
    <s v="High"/>
  </r>
  <r>
    <s v="ORD0366"/>
    <s v="Customer 366"/>
    <s v="084764729863"/>
    <x v="3"/>
    <s v="USB Cable"/>
    <n v="4"/>
    <n v="627644"/>
    <n v="2510576"/>
    <s v="2025-02-24"/>
    <s v="Paid"/>
    <s v="Delivered"/>
    <s v="High"/>
  </r>
  <r>
    <s v="ORD0367"/>
    <s v="Customer 367"/>
    <s v="088947544272"/>
    <x v="0"/>
    <s v="Keyboard"/>
    <n v="1"/>
    <n v="332713"/>
    <n v="332713"/>
    <s v="2025-08-23"/>
    <s v="Pending"/>
    <s v="Delivered"/>
    <s v="Low"/>
  </r>
  <r>
    <s v="ORD0368"/>
    <s v="Customer 368"/>
    <s v="089612927588"/>
    <x v="0"/>
    <s v="Monitor"/>
    <n v="5"/>
    <n v="918386"/>
    <n v="4591930"/>
    <s v="2025-08-03"/>
    <s v="Pending"/>
    <s v="Shipped"/>
    <s v="High"/>
  </r>
  <r>
    <s v="ORD0369"/>
    <s v="Customer 369"/>
    <s v="087397460261"/>
    <x v="5"/>
    <s v="Keyboard"/>
    <n v="1"/>
    <n v="631421"/>
    <n v="631421"/>
    <s v="2025-11-20"/>
    <s v="Paid"/>
    <s v="Shipped"/>
    <s v="Medium"/>
  </r>
  <r>
    <s v="ORD0370"/>
    <s v="Customer 370"/>
    <s v="083292950162"/>
    <x v="6"/>
    <s v="Keyboard"/>
    <n v="2"/>
    <n v="714453"/>
    <n v="1428906"/>
    <s v="2025-05-21"/>
    <s v="Paid"/>
    <s v="Processing"/>
    <s v="Medium"/>
  </r>
  <r>
    <s v="ORD0371"/>
    <s v="Customer 371"/>
    <s v="085780545380"/>
    <x v="4"/>
    <s v="Monitor"/>
    <n v="5"/>
    <n v="77137"/>
    <n v="385685"/>
    <s v="2025-11-30"/>
    <s v="Paid"/>
    <s v="Delivered"/>
    <s v="Low"/>
  </r>
  <r>
    <s v="ORD0372"/>
    <s v="Customer 372"/>
    <s v="087282197089"/>
    <x v="0"/>
    <s v="Headset"/>
    <n v="4"/>
    <n v="50591"/>
    <n v="202364"/>
    <s v="2025-03-09"/>
    <s v="Pending"/>
    <s v="Delivered"/>
    <s v="Low"/>
  </r>
  <r>
    <s v="ORD0373"/>
    <s v="Customer 373"/>
    <s v="089975271046"/>
    <x v="1"/>
    <s v="Mouse"/>
    <n v="4"/>
    <n v="1231339"/>
    <n v="4925356"/>
    <s v="2025-03-24"/>
    <s v="Pending"/>
    <s v="Processing"/>
    <s v="High"/>
  </r>
  <r>
    <s v="ORD0374"/>
    <s v="Customer 374"/>
    <s v="082497890941"/>
    <x v="1"/>
    <s v="USB Cable"/>
    <n v="5"/>
    <n v="1470594"/>
    <n v="7352970"/>
    <s v="2025-10-01"/>
    <s v="Pending"/>
    <s v="Processing"/>
    <s v="High"/>
  </r>
  <r>
    <s v="ORD0375"/>
    <s v="Customer 375"/>
    <s v="083769864886"/>
    <x v="0"/>
    <s v="Mouse"/>
    <n v="2"/>
    <n v="1225553"/>
    <n v="2451106"/>
    <s v="2025-07-31"/>
    <s v="Paid"/>
    <s v="Shipped"/>
    <s v="High"/>
  </r>
  <r>
    <s v="ORD0376"/>
    <s v="Customer 376"/>
    <s v="088850957658"/>
    <x v="2"/>
    <s v="Laptop Stand"/>
    <n v="3"/>
    <n v="189739"/>
    <n v="569217"/>
    <s v="2025-12-07"/>
    <s v="Pending"/>
    <s v="Processing"/>
    <s v="Medium"/>
  </r>
  <r>
    <s v="ORD0377"/>
    <s v="Customer 377"/>
    <s v="085540470751"/>
    <x v="3"/>
    <s v="Laptop Stand"/>
    <n v="2"/>
    <n v="561982"/>
    <n v="1123964"/>
    <s v="2025-10-13"/>
    <s v="Pending"/>
    <s v="Processing"/>
    <s v="Medium"/>
  </r>
  <r>
    <s v="ORD0378"/>
    <s v="Customer 378"/>
    <s v="089629666156"/>
    <x v="4"/>
    <s v="USB Cable"/>
    <n v="4"/>
    <n v="170500"/>
    <n v="682000"/>
    <s v="2025-03-24"/>
    <s v="Pending"/>
    <s v="Processing"/>
    <s v="Medium"/>
  </r>
  <r>
    <s v="ORD0379"/>
    <s v="Customer 379"/>
    <s v="088947326303"/>
    <x v="3"/>
    <s v="Monitor"/>
    <n v="1"/>
    <n v="729586"/>
    <n v="729586"/>
    <s v="2025-06-26"/>
    <s v="Pending"/>
    <s v="Processing"/>
    <s v="Medium"/>
  </r>
  <r>
    <s v="ORD0380"/>
    <s v="Customer 380"/>
    <s v="089990576598"/>
    <x v="1"/>
    <s v="Mouse"/>
    <n v="4"/>
    <n v="682369"/>
    <n v="2729476"/>
    <s v="2025-03-30"/>
    <s v="Pending"/>
    <s v="Delivered"/>
    <s v="High"/>
  </r>
  <r>
    <s v="ORD0381"/>
    <s v="Customer 381"/>
    <s v="083945477972"/>
    <x v="0"/>
    <s v="SSD"/>
    <n v="2"/>
    <n v="700368"/>
    <n v="1400736"/>
    <s v="2025-03-31"/>
    <s v="Pending"/>
    <s v="Processing"/>
    <s v="Medium"/>
  </r>
  <r>
    <s v="ORD0382"/>
    <s v="Customer 382"/>
    <s v="084347732343"/>
    <x v="2"/>
    <s v="Laptop Stand"/>
    <n v="4"/>
    <n v="403666"/>
    <n v="1614664"/>
    <s v="2025-08-31"/>
    <s v="Paid"/>
    <s v="Shipped"/>
    <s v="Medium"/>
  </r>
  <r>
    <s v="ORD0383"/>
    <s v="Customer 383"/>
    <s v="082408868019"/>
    <x v="4"/>
    <s v="Headset"/>
    <n v="2"/>
    <n v="1052809"/>
    <n v="2105618"/>
    <s v="2025-06-01"/>
    <s v="Pending"/>
    <s v="Delivered"/>
    <s v="High"/>
  </r>
  <r>
    <s v="ORD0384"/>
    <s v="Customer 384"/>
    <s v="085161226405"/>
    <x v="5"/>
    <s v="USB Cable"/>
    <n v="3"/>
    <n v="1052395"/>
    <n v="3157185"/>
    <s v="2025-06-16"/>
    <s v="Pending"/>
    <s v="Processing"/>
    <s v="High"/>
  </r>
  <r>
    <s v="ORD0385"/>
    <s v="Customer 385"/>
    <s v="089258818875"/>
    <x v="3"/>
    <s v="Keyboard"/>
    <n v="1"/>
    <n v="541996"/>
    <n v="541996"/>
    <s v="2025-11-20"/>
    <s v="Pending"/>
    <s v="Processing"/>
    <s v="Medium"/>
  </r>
  <r>
    <s v="ORD0386"/>
    <s v="Customer 386"/>
    <s v="086294541394"/>
    <x v="4"/>
    <s v="SSD"/>
    <n v="4"/>
    <n v="1441399"/>
    <n v="5765596"/>
    <s v="2025-07-14"/>
    <s v="Pending"/>
    <s v="Delivered"/>
    <s v="High"/>
  </r>
  <r>
    <s v="ORD0387"/>
    <s v="Customer 387"/>
    <s v="085603743638"/>
    <x v="4"/>
    <s v="Headset"/>
    <n v="2"/>
    <n v="1337185"/>
    <n v="2674370"/>
    <s v="2025-01-13"/>
    <s v="Paid"/>
    <s v="Processing"/>
    <s v="High"/>
  </r>
  <r>
    <s v="ORD0388"/>
    <s v="Customer 388"/>
    <s v="088255721997"/>
    <x v="6"/>
    <s v="Monitor"/>
    <n v="2"/>
    <n v="1405408"/>
    <n v="2810816"/>
    <s v="2025-11-02"/>
    <s v="Pending"/>
    <s v="Processing"/>
    <s v="High"/>
  </r>
  <r>
    <s v="ORD0389"/>
    <s v="Customer 389"/>
    <s v="082923231088"/>
    <x v="0"/>
    <s v="Monitor"/>
    <n v="3"/>
    <n v="722001"/>
    <n v="2166003"/>
    <s v="2025-01-01"/>
    <s v="Paid"/>
    <s v="Processing"/>
    <s v="High"/>
  </r>
  <r>
    <s v="ORD0390"/>
    <s v="Customer 390"/>
    <s v="081724669800"/>
    <x v="1"/>
    <s v="SSD"/>
    <n v="4"/>
    <n v="845738"/>
    <n v="3382952"/>
    <s v="2025-07-30"/>
    <s v="Paid"/>
    <s v="Delivered"/>
    <s v="High"/>
  </r>
  <r>
    <s v="ORD0391"/>
    <s v="Customer 391"/>
    <s v="081480902115"/>
    <x v="4"/>
    <s v="Headset"/>
    <n v="5"/>
    <n v="249347"/>
    <n v="1246735"/>
    <s v="2025-06-02"/>
    <s v="Pending"/>
    <s v="Shipped"/>
    <s v="Medium"/>
  </r>
  <r>
    <s v="ORD0392"/>
    <s v="Customer 392"/>
    <s v="085530742405"/>
    <x v="0"/>
    <s v="Keyboard"/>
    <n v="4"/>
    <n v="562144"/>
    <n v="2248576"/>
    <s v="2025-01-11"/>
    <s v="Paid"/>
    <s v="Shipped"/>
    <s v="High"/>
  </r>
  <r>
    <s v="ORD0393"/>
    <s v="Customer 393"/>
    <s v="086234539783"/>
    <x v="6"/>
    <s v="SSD"/>
    <n v="5"/>
    <n v="1307397"/>
    <n v="6536985"/>
    <s v="2025-06-10"/>
    <s v="Pending"/>
    <s v="Processing"/>
    <s v="High"/>
  </r>
  <r>
    <s v="ORD0394"/>
    <s v="Customer 394"/>
    <s v="082938020810"/>
    <x v="3"/>
    <s v="SSD"/>
    <n v="1"/>
    <n v="1096248"/>
    <n v="1096248"/>
    <s v="2025-07-14"/>
    <s v="Pending"/>
    <s v="Shipped"/>
    <s v="Medium"/>
  </r>
  <r>
    <s v="ORD0395"/>
    <s v="Customer 395"/>
    <s v="081164881192"/>
    <x v="2"/>
    <s v="Keyboard"/>
    <n v="4"/>
    <n v="151499"/>
    <n v="605996"/>
    <s v="2025-05-16"/>
    <s v="Pending"/>
    <s v="Delivered"/>
    <s v="Medium"/>
  </r>
  <r>
    <s v="ORD0396"/>
    <s v="Customer 396"/>
    <s v="087082422357"/>
    <x v="1"/>
    <s v="Mouse"/>
    <n v="4"/>
    <n v="276183"/>
    <n v="1104732"/>
    <s v="2025-04-28"/>
    <s v="Pending"/>
    <s v="Shipped"/>
    <s v="Medium"/>
  </r>
  <r>
    <s v="ORD0397"/>
    <s v="Customer 397"/>
    <s v="082261371191"/>
    <x v="4"/>
    <s v="Monitor"/>
    <n v="1"/>
    <n v="882157"/>
    <n v="882157"/>
    <s v="2025-08-25"/>
    <s v="Paid"/>
    <s v="Shipped"/>
    <s v="Medium"/>
  </r>
  <r>
    <s v="ORD0398"/>
    <s v="Customer 398"/>
    <s v="086161925054"/>
    <x v="2"/>
    <s v="Headset"/>
    <n v="2"/>
    <n v="360305"/>
    <n v="720610"/>
    <s v="2025-07-22"/>
    <s v="Pending"/>
    <s v="Delivered"/>
    <s v="Medium"/>
  </r>
  <r>
    <s v="ORD0399"/>
    <s v="Customer 399"/>
    <s v="082828209870"/>
    <x v="4"/>
    <s v="Mouse"/>
    <n v="1"/>
    <n v="612923"/>
    <n v="612923"/>
    <s v="2025-02-18"/>
    <s v="Pending"/>
    <s v="Processing"/>
    <s v="Medium"/>
  </r>
  <r>
    <s v="ORD0400"/>
    <s v="Customer 400"/>
    <s v="084988042441"/>
    <x v="6"/>
    <s v="Laptop Stand"/>
    <n v="5"/>
    <n v="1410908"/>
    <n v="7054540"/>
    <s v="2025-11-11"/>
    <s v="Paid"/>
    <s v="Shipped"/>
    <s v="High"/>
  </r>
  <r>
    <s v="ORD0401"/>
    <s v="Customer 401"/>
    <s v="082019955564"/>
    <x v="1"/>
    <s v="Laptop Stand"/>
    <n v="5"/>
    <n v="666678"/>
    <n v="3333390"/>
    <s v="2025-12-02"/>
    <s v="Paid"/>
    <s v="Delivered"/>
    <s v="High"/>
  </r>
  <r>
    <s v="ORD0402"/>
    <s v="Customer 402"/>
    <s v="086177770101"/>
    <x v="6"/>
    <s v="USB Cable"/>
    <n v="1"/>
    <n v="289637"/>
    <n v="289637"/>
    <s v="2025-08-26"/>
    <s v="Pending"/>
    <s v="Delivered"/>
    <s v="Low"/>
  </r>
  <r>
    <s v="ORD0403"/>
    <s v="Customer 403"/>
    <s v="084962415336"/>
    <x v="2"/>
    <s v="Mouse"/>
    <n v="1"/>
    <n v="1151126"/>
    <n v="1151126"/>
    <s v="2025-07-14"/>
    <s v="Pending"/>
    <s v="Delivered"/>
    <s v="Medium"/>
  </r>
  <r>
    <s v="ORD0404"/>
    <s v="Customer 404"/>
    <s v="085082512854"/>
    <x v="4"/>
    <s v="SSD"/>
    <n v="1"/>
    <n v="963724"/>
    <n v="963724"/>
    <s v="2025-04-25"/>
    <s v="Pending"/>
    <s v="Processing"/>
    <s v="Medium"/>
  </r>
  <r>
    <s v="ORD0405"/>
    <s v="Customer 405"/>
    <s v="081447713615"/>
    <x v="3"/>
    <s v="Headset"/>
    <n v="5"/>
    <n v="1172990"/>
    <n v="5864950"/>
    <s v="2025-03-18"/>
    <s v="Pending"/>
    <s v="Delivered"/>
    <s v="High"/>
  </r>
  <r>
    <s v="ORD0406"/>
    <s v="Customer 406"/>
    <s v="081141553658"/>
    <x v="5"/>
    <s v="SSD"/>
    <n v="2"/>
    <n v="1020009"/>
    <n v="2040018"/>
    <s v="2025-06-02"/>
    <s v="Pending"/>
    <s v="Shipped"/>
    <s v="High"/>
  </r>
  <r>
    <s v="ORD0407"/>
    <s v="Customer 407"/>
    <s v="087881576096"/>
    <x v="2"/>
    <s v="Keyboard"/>
    <n v="5"/>
    <n v="1405729"/>
    <n v="7028645"/>
    <s v="2025-11-23"/>
    <s v="Pending"/>
    <s v="Delivered"/>
    <s v="High"/>
  </r>
  <r>
    <s v="ORD0408"/>
    <s v="Customer 408"/>
    <s v="084039624792"/>
    <x v="3"/>
    <s v="SSD"/>
    <n v="5"/>
    <n v="288555"/>
    <n v="1442775"/>
    <s v="2025-08-08"/>
    <s v="Pending"/>
    <s v="Processing"/>
    <s v="Medium"/>
  </r>
  <r>
    <s v="ORD0409"/>
    <s v="Customer 409"/>
    <s v="088530468590"/>
    <x v="3"/>
    <s v="Mouse"/>
    <n v="4"/>
    <n v="1332820"/>
    <n v="5331280"/>
    <s v="2025-01-01"/>
    <s v="Pending"/>
    <s v="Processing"/>
    <s v="High"/>
  </r>
  <r>
    <s v="ORD0410"/>
    <s v="Customer 410"/>
    <s v="081287907264"/>
    <x v="0"/>
    <s v="USB Cable"/>
    <n v="5"/>
    <n v="363448"/>
    <n v="1817240"/>
    <s v="2025-07-03"/>
    <s v="Paid"/>
    <s v="Shipped"/>
    <s v="Medium"/>
  </r>
  <r>
    <s v="ORD0411"/>
    <s v="Customer 411"/>
    <s v="088126150740"/>
    <x v="1"/>
    <s v="USB Cable"/>
    <n v="5"/>
    <n v="424738"/>
    <n v="2123690"/>
    <s v="2025-12-22"/>
    <s v="Pending"/>
    <s v="Delivered"/>
    <s v="High"/>
  </r>
  <r>
    <s v="ORD0412"/>
    <s v="Customer 412"/>
    <s v="082428398434"/>
    <x v="3"/>
    <s v="USB Cable"/>
    <n v="1"/>
    <n v="894431"/>
    <n v="894431"/>
    <s v="2025-06-11"/>
    <s v="Paid"/>
    <s v="Shipped"/>
    <s v="Medium"/>
  </r>
  <r>
    <s v="ORD0413"/>
    <s v="Customer 413"/>
    <s v="088295001252"/>
    <x v="1"/>
    <s v="Headset"/>
    <n v="5"/>
    <n v="648363"/>
    <n v="3241815"/>
    <s v="2025-06-19"/>
    <s v="Pending"/>
    <s v="Shipped"/>
    <s v="High"/>
  </r>
  <r>
    <s v="ORD0414"/>
    <s v="Customer 414"/>
    <s v="084155156123"/>
    <x v="5"/>
    <s v="Mouse"/>
    <n v="2"/>
    <n v="1166471"/>
    <n v="2332942"/>
    <s v="2025-01-17"/>
    <s v="Pending"/>
    <s v="Processing"/>
    <s v="High"/>
  </r>
  <r>
    <s v="ORD0415"/>
    <s v="Customer 415"/>
    <s v="082399196846"/>
    <x v="4"/>
    <s v="Laptop Stand"/>
    <n v="4"/>
    <n v="812173"/>
    <n v="3248692"/>
    <s v="2025-02-25"/>
    <s v="Paid"/>
    <s v="Delivered"/>
    <s v="High"/>
  </r>
  <r>
    <s v="ORD0416"/>
    <s v="Customer 416"/>
    <s v="081720462250"/>
    <x v="2"/>
    <s v="Laptop Stand"/>
    <n v="4"/>
    <n v="1230392"/>
    <n v="4921568"/>
    <s v="2025-03-22"/>
    <s v="Paid"/>
    <s v="Shipped"/>
    <s v="High"/>
  </r>
  <r>
    <s v="ORD0417"/>
    <s v="Customer 417"/>
    <s v="082863440210"/>
    <x v="5"/>
    <s v="Laptop Stand"/>
    <n v="3"/>
    <n v="1149879"/>
    <n v="3449637"/>
    <s v="2025-10-17"/>
    <s v="Paid"/>
    <s v="Shipped"/>
    <s v="High"/>
  </r>
  <r>
    <s v="ORD0418"/>
    <s v="Customer 418"/>
    <s v="086005798681"/>
    <x v="4"/>
    <s v="Monitor"/>
    <n v="4"/>
    <n v="189201"/>
    <n v="756804"/>
    <s v="2025-08-04"/>
    <s v="Pending"/>
    <s v="Processing"/>
    <s v="Medium"/>
  </r>
  <r>
    <s v="ORD0419"/>
    <s v="Customer 419"/>
    <s v="085687432414"/>
    <x v="1"/>
    <s v="SSD"/>
    <n v="4"/>
    <n v="723175"/>
    <n v="2892700"/>
    <s v="2025-07-30"/>
    <s v="Pending"/>
    <s v="Delivered"/>
    <s v="High"/>
  </r>
  <r>
    <s v="ORD0420"/>
    <s v="Customer 420"/>
    <s v="085837515429"/>
    <x v="4"/>
    <s v="Keyboard"/>
    <n v="2"/>
    <n v="1035724"/>
    <n v="2071448"/>
    <s v="2025-05-21"/>
    <s v="Paid"/>
    <s v="Processing"/>
    <s v="High"/>
  </r>
  <r>
    <s v="ORD0421"/>
    <s v="Customer 421"/>
    <s v="081967111351"/>
    <x v="0"/>
    <s v="Mouse"/>
    <n v="2"/>
    <n v="648675"/>
    <n v="1297350"/>
    <s v="2025-05-18"/>
    <s v="Pending"/>
    <s v="Delivered"/>
    <s v="Medium"/>
  </r>
  <r>
    <s v="ORD0422"/>
    <s v="Customer 422"/>
    <s v="089986003997"/>
    <x v="6"/>
    <s v="SSD"/>
    <n v="1"/>
    <n v="1260263"/>
    <n v="1260263"/>
    <s v="2025-01-10"/>
    <s v="Pending"/>
    <s v="Processing"/>
    <s v="Medium"/>
  </r>
  <r>
    <s v="ORD0423"/>
    <s v="Customer 423"/>
    <s v="083626247069"/>
    <x v="6"/>
    <s v="Keyboard"/>
    <n v="2"/>
    <n v="461562"/>
    <n v="923124"/>
    <s v="2025-03-30"/>
    <s v="Pending"/>
    <s v="Delivered"/>
    <s v="Medium"/>
  </r>
  <r>
    <s v="ORD0424"/>
    <s v="Customer 424"/>
    <s v="081595185018"/>
    <x v="6"/>
    <s v="Headset"/>
    <n v="4"/>
    <n v="810545"/>
    <n v="3242180"/>
    <s v="2025-09-02"/>
    <s v="Pending"/>
    <s v="Delivered"/>
    <s v="High"/>
  </r>
  <r>
    <s v="ORD0425"/>
    <s v="Customer 425"/>
    <s v="089967893583"/>
    <x v="6"/>
    <s v="Keyboard"/>
    <n v="3"/>
    <n v="1480057"/>
    <n v="4440171"/>
    <s v="2025-02-12"/>
    <s v="Paid"/>
    <s v="Processing"/>
    <s v="High"/>
  </r>
  <r>
    <s v="ORD0426"/>
    <s v="Customer 426"/>
    <s v="083540780449"/>
    <x v="4"/>
    <s v="Mouse"/>
    <n v="3"/>
    <n v="912551"/>
    <n v="2737653"/>
    <s v="2025-12-08"/>
    <s v="Paid"/>
    <s v="Processing"/>
    <s v="High"/>
  </r>
  <r>
    <s v="ORD0427"/>
    <s v="Customer 427"/>
    <s v="081666221595"/>
    <x v="5"/>
    <s v="Keyboard"/>
    <n v="3"/>
    <n v="758530"/>
    <n v="2275590"/>
    <s v="2025-12-23"/>
    <s v="Pending"/>
    <s v="Delivered"/>
    <s v="High"/>
  </r>
  <r>
    <s v="ORD0428"/>
    <s v="Customer 428"/>
    <s v="086356158471"/>
    <x v="5"/>
    <s v="Mouse"/>
    <n v="3"/>
    <n v="735987"/>
    <n v="2207961"/>
    <s v="2025-02-17"/>
    <s v="Pending"/>
    <s v="Shipped"/>
    <s v="High"/>
  </r>
  <r>
    <s v="ORD0429"/>
    <s v="Customer 429"/>
    <s v="082990242031"/>
    <x v="4"/>
    <s v="Mouse"/>
    <n v="4"/>
    <n v="804266"/>
    <n v="3217064"/>
    <s v="2025-05-16"/>
    <s v="Paid"/>
    <s v="Processing"/>
    <s v="High"/>
  </r>
  <r>
    <s v="ORD0430"/>
    <s v="Customer 430"/>
    <s v="085977450572"/>
    <x v="3"/>
    <s v="Keyboard"/>
    <n v="5"/>
    <n v="856555"/>
    <n v="4282775"/>
    <s v="2025-03-26"/>
    <s v="Pending"/>
    <s v="Processing"/>
    <s v="High"/>
  </r>
  <r>
    <s v="ORD0431"/>
    <s v="Customer 431"/>
    <s v="082532456089"/>
    <x v="0"/>
    <s v="Monitor"/>
    <n v="4"/>
    <n v="959204"/>
    <n v="3836816"/>
    <s v="2025-07-11"/>
    <s v="Pending"/>
    <s v="Processing"/>
    <s v="High"/>
  </r>
  <r>
    <s v="ORD0432"/>
    <s v="Customer 432"/>
    <s v="081596287772"/>
    <x v="5"/>
    <s v="Laptop Stand"/>
    <n v="2"/>
    <n v="1007882"/>
    <n v="2015764"/>
    <s v="2025-08-06"/>
    <s v="Pending"/>
    <s v="Shipped"/>
    <s v="High"/>
  </r>
  <r>
    <s v="ORD0433"/>
    <s v="Customer 433"/>
    <s v="086928401326"/>
    <x v="4"/>
    <s v="Laptop Stand"/>
    <n v="3"/>
    <n v="840718"/>
    <n v="2522154"/>
    <s v="2025-07-09"/>
    <s v="Paid"/>
    <s v="Shipped"/>
    <s v="High"/>
  </r>
  <r>
    <s v="ORD0434"/>
    <s v="Customer 434"/>
    <s v="081310270313"/>
    <x v="2"/>
    <s v="Monitor"/>
    <n v="4"/>
    <n v="1192945"/>
    <n v="4771780"/>
    <s v="2025-05-29"/>
    <s v="Pending"/>
    <s v="Processing"/>
    <s v="High"/>
  </r>
  <r>
    <s v="ORD0435"/>
    <s v="Customer 435"/>
    <s v="085887661215"/>
    <x v="1"/>
    <s v="Mouse"/>
    <n v="4"/>
    <n v="98396"/>
    <n v="393584"/>
    <s v="2025-09-23"/>
    <s v="Pending"/>
    <s v="Shipped"/>
    <s v="Low"/>
  </r>
  <r>
    <s v="ORD0436"/>
    <s v="Customer 436"/>
    <s v="081294491916"/>
    <x v="3"/>
    <s v="USB Cable"/>
    <n v="2"/>
    <n v="606307"/>
    <n v="1212614"/>
    <s v="2025-01-19"/>
    <s v="Pending"/>
    <s v="Delivered"/>
    <s v="Medium"/>
  </r>
  <r>
    <s v="ORD0437"/>
    <s v="Customer 437"/>
    <s v="088562314983"/>
    <x v="5"/>
    <s v="Headset"/>
    <n v="1"/>
    <n v="280934"/>
    <n v="280934"/>
    <s v="2025-06-04"/>
    <s v="Pending"/>
    <s v="Delivered"/>
    <s v="Low"/>
  </r>
  <r>
    <s v="ORD0438"/>
    <s v="Customer 438"/>
    <s v="088010073990"/>
    <x v="2"/>
    <s v="Keyboard"/>
    <n v="3"/>
    <n v="82000"/>
    <n v="246000"/>
    <s v="2025-09-26"/>
    <s v="Pending"/>
    <s v="Processing"/>
    <s v="Low"/>
  </r>
  <r>
    <s v="ORD0439"/>
    <s v="Customer 439"/>
    <s v="089354400999"/>
    <x v="6"/>
    <s v="SSD"/>
    <n v="2"/>
    <n v="1170247"/>
    <n v="2340494"/>
    <s v="2025-09-19"/>
    <s v="Paid"/>
    <s v="Processing"/>
    <s v="High"/>
  </r>
  <r>
    <s v="ORD0440"/>
    <s v="Customer 440"/>
    <s v="081848678861"/>
    <x v="4"/>
    <s v="USB Cable"/>
    <n v="1"/>
    <n v="105984"/>
    <n v="105984"/>
    <s v="2025-10-07"/>
    <s v="Paid"/>
    <s v="Delivered"/>
    <s v="Low"/>
  </r>
  <r>
    <s v="ORD0441"/>
    <s v="Customer 441"/>
    <s v="086482384795"/>
    <x v="0"/>
    <s v="Monitor"/>
    <n v="4"/>
    <n v="897769"/>
    <n v="3591076"/>
    <s v="2025-07-04"/>
    <s v="Paid"/>
    <s v="Processing"/>
    <s v="High"/>
  </r>
  <r>
    <s v="ORD0442"/>
    <s v="Customer 442"/>
    <s v="089057181624"/>
    <x v="2"/>
    <s v="Monitor"/>
    <n v="4"/>
    <n v="1456626"/>
    <n v="5826504"/>
    <s v="2025-07-11"/>
    <s v="Pending"/>
    <s v="Processing"/>
    <s v="High"/>
  </r>
  <r>
    <s v="ORD0443"/>
    <s v="Customer 443"/>
    <s v="088309042668"/>
    <x v="0"/>
    <s v="Laptop Stand"/>
    <n v="5"/>
    <n v="1230088"/>
    <n v="6150440"/>
    <s v="2025-03-14"/>
    <s v="Pending"/>
    <s v="Shipped"/>
    <s v="High"/>
  </r>
  <r>
    <s v="ORD0444"/>
    <s v="Customer 444"/>
    <s v="084247872831"/>
    <x v="0"/>
    <s v="USB Cable"/>
    <n v="4"/>
    <n v="1316787"/>
    <n v="5267148"/>
    <s v="2025-10-24"/>
    <s v="Pending"/>
    <s v="Delivered"/>
    <s v="High"/>
  </r>
  <r>
    <s v="ORD0445"/>
    <s v="Customer 445"/>
    <s v="087838163152"/>
    <x v="4"/>
    <s v="Headset"/>
    <n v="2"/>
    <n v="1343570"/>
    <n v="2687140"/>
    <s v="2025-08-01"/>
    <s v="Paid"/>
    <s v="Delivered"/>
    <s v="High"/>
  </r>
  <r>
    <s v="ORD0446"/>
    <s v="Customer 446"/>
    <s v="087028214718"/>
    <x v="4"/>
    <s v="Mouse"/>
    <n v="5"/>
    <n v="1166266"/>
    <n v="5831330"/>
    <s v="2025-01-05"/>
    <s v="Paid"/>
    <s v="Processing"/>
    <s v="High"/>
  </r>
  <r>
    <s v="ORD0447"/>
    <s v="Customer 447"/>
    <s v="083968929518"/>
    <x v="4"/>
    <s v="Mouse"/>
    <n v="2"/>
    <n v="534252"/>
    <n v="1068504"/>
    <s v="2025-06-07"/>
    <s v="Paid"/>
    <s v="Shipped"/>
    <s v="Medium"/>
  </r>
  <r>
    <s v="ORD0448"/>
    <s v="Customer 448"/>
    <s v="083899188719"/>
    <x v="5"/>
    <s v="Keyboard"/>
    <n v="1"/>
    <n v="470183"/>
    <n v="470183"/>
    <s v="2025-08-25"/>
    <s v="Pending"/>
    <s v="Shipped"/>
    <s v="Low"/>
  </r>
  <r>
    <s v="ORD0449"/>
    <s v="Customer 449"/>
    <s v="086749612154"/>
    <x v="2"/>
    <s v="Keyboard"/>
    <n v="2"/>
    <n v="943774"/>
    <n v="1887548"/>
    <s v="2025-12-12"/>
    <s v="Paid"/>
    <s v="Delivered"/>
    <s v="Medium"/>
  </r>
  <r>
    <s v="ORD0450"/>
    <s v="Customer 450"/>
    <s v="086054791105"/>
    <x v="0"/>
    <s v="Headset"/>
    <n v="1"/>
    <n v="213379"/>
    <n v="213379"/>
    <s v="2025-11-23"/>
    <s v="Paid"/>
    <s v="Shipped"/>
    <s v="Low"/>
  </r>
  <r>
    <s v="ORD0451"/>
    <s v="Customer 451"/>
    <s v="088706310217"/>
    <x v="2"/>
    <s v="Laptop Stand"/>
    <n v="3"/>
    <n v="1042638"/>
    <n v="3127914"/>
    <s v="2025-10-13"/>
    <s v="Pending"/>
    <s v="Delivered"/>
    <s v="High"/>
  </r>
  <r>
    <s v="ORD0452"/>
    <s v="Customer 452"/>
    <s v="086489893522"/>
    <x v="4"/>
    <s v="Headset"/>
    <n v="3"/>
    <n v="1204235"/>
    <n v="3612705"/>
    <s v="2025-03-11"/>
    <s v="Paid"/>
    <s v="Shipped"/>
    <s v="High"/>
  </r>
  <r>
    <s v="ORD0453"/>
    <s v="Customer 453"/>
    <s v="084574758518"/>
    <x v="2"/>
    <s v="USB Cable"/>
    <n v="4"/>
    <n v="1438426"/>
    <n v="5753704"/>
    <s v="2025-12-10"/>
    <s v="Pending"/>
    <s v="Delivered"/>
    <s v="High"/>
  </r>
  <r>
    <s v="ORD0454"/>
    <s v="Customer 454"/>
    <s v="084577839269"/>
    <x v="4"/>
    <s v="SSD"/>
    <n v="2"/>
    <n v="512586"/>
    <n v="1025172"/>
    <s v="2025-08-05"/>
    <s v="Paid"/>
    <s v="Delivered"/>
    <s v="Medium"/>
  </r>
  <r>
    <s v="ORD0455"/>
    <s v="Customer 455"/>
    <s v="083728395073"/>
    <x v="1"/>
    <s v="SSD"/>
    <n v="1"/>
    <n v="653454"/>
    <n v="653454"/>
    <s v="2025-06-01"/>
    <s v="Pending"/>
    <s v="Delivered"/>
    <s v="Medium"/>
  </r>
  <r>
    <s v="ORD0456"/>
    <s v="Customer 456"/>
    <s v="082480927179"/>
    <x v="1"/>
    <s v="Monitor"/>
    <n v="2"/>
    <n v="1463083"/>
    <n v="2926166"/>
    <s v="2025-02-19"/>
    <s v="Pending"/>
    <s v="Processing"/>
    <s v="High"/>
  </r>
  <r>
    <s v="ORD0457"/>
    <s v="Customer 457"/>
    <s v="088297386953"/>
    <x v="0"/>
    <s v="SSD"/>
    <n v="2"/>
    <n v="1187439"/>
    <n v="2374878"/>
    <s v="2025-12-12"/>
    <s v="Pending"/>
    <s v="Processing"/>
    <s v="High"/>
  </r>
  <r>
    <s v="ORD0458"/>
    <s v="Customer 458"/>
    <s v="084382992291"/>
    <x v="1"/>
    <s v="Monitor"/>
    <n v="5"/>
    <n v="1369693"/>
    <n v="6848465"/>
    <s v="2025-06-30"/>
    <s v="Paid"/>
    <s v="Processing"/>
    <s v="High"/>
  </r>
  <r>
    <s v="ORD0459"/>
    <s v="Customer 459"/>
    <s v="087661341673"/>
    <x v="1"/>
    <s v="USB Cable"/>
    <n v="3"/>
    <n v="1406807"/>
    <n v="4220421"/>
    <s v="2025-09-02"/>
    <s v="Pending"/>
    <s v="Shipped"/>
    <s v="High"/>
  </r>
  <r>
    <s v="ORD0460"/>
    <s v="Customer 460"/>
    <s v="084086018805"/>
    <x v="3"/>
    <s v="Headset"/>
    <n v="4"/>
    <n v="1222893"/>
    <n v="4891572"/>
    <s v="2025-05-08"/>
    <s v="Paid"/>
    <s v="Delivered"/>
    <s v="High"/>
  </r>
  <r>
    <s v="ORD0461"/>
    <s v="Customer 461"/>
    <s v="089963377338"/>
    <x v="0"/>
    <s v="Keyboard"/>
    <n v="2"/>
    <n v="624890"/>
    <n v="1249780"/>
    <s v="2025-05-15"/>
    <s v="Pending"/>
    <s v="Shipped"/>
    <s v="Medium"/>
  </r>
  <r>
    <s v="ORD0462"/>
    <s v="Customer 462"/>
    <s v="085709703764"/>
    <x v="1"/>
    <s v="Laptop Stand"/>
    <n v="5"/>
    <n v="838690"/>
    <n v="4193450"/>
    <s v="2025-04-07"/>
    <s v="Pending"/>
    <s v="Processing"/>
    <s v="High"/>
  </r>
  <r>
    <s v="ORD0463"/>
    <s v="Customer 463"/>
    <s v="087541569708"/>
    <x v="2"/>
    <s v="Mouse"/>
    <n v="3"/>
    <n v="618349"/>
    <n v="1855047"/>
    <s v="2025-10-24"/>
    <s v="Paid"/>
    <s v="Shipped"/>
    <s v="Medium"/>
  </r>
  <r>
    <s v="ORD0464"/>
    <s v="Customer 464"/>
    <s v="083278203594"/>
    <x v="5"/>
    <s v="Headset"/>
    <n v="4"/>
    <n v="1139625"/>
    <n v="4558500"/>
    <s v="2025-12-04"/>
    <s v="Paid"/>
    <s v="Delivered"/>
    <s v="High"/>
  </r>
  <r>
    <s v="ORD0465"/>
    <s v="Customer 465"/>
    <s v="082404355519"/>
    <x v="2"/>
    <s v="Mouse"/>
    <n v="5"/>
    <n v="897521"/>
    <n v="4487605"/>
    <s v="2025-12-27"/>
    <s v="Pending"/>
    <s v="Shipped"/>
    <s v="High"/>
  </r>
  <r>
    <s v="ORD0466"/>
    <s v="Customer 466"/>
    <s v="082940451458"/>
    <x v="6"/>
    <s v="Mouse"/>
    <n v="1"/>
    <n v="564006"/>
    <n v="564006"/>
    <s v="2025-01-29"/>
    <s v="Pending"/>
    <s v="Processing"/>
    <s v="Medium"/>
  </r>
  <r>
    <s v="ORD0467"/>
    <s v="Customer 467"/>
    <s v="082946396993"/>
    <x v="3"/>
    <s v="Headset"/>
    <n v="1"/>
    <n v="101490"/>
    <n v="101490"/>
    <s v="2025-08-26"/>
    <s v="Paid"/>
    <s v="Shipped"/>
    <s v="Low"/>
  </r>
  <r>
    <s v="ORD0468"/>
    <s v="Customer 468"/>
    <s v="089487520725"/>
    <x v="4"/>
    <s v="USB Cable"/>
    <n v="4"/>
    <n v="295434"/>
    <n v="1181736"/>
    <s v="2025-03-12"/>
    <s v="Pending"/>
    <s v="Shipped"/>
    <s v="Medium"/>
  </r>
  <r>
    <s v="ORD0469"/>
    <s v="Customer 469"/>
    <s v="083962306066"/>
    <x v="1"/>
    <s v="Keyboard"/>
    <n v="1"/>
    <n v="181961"/>
    <n v="181961"/>
    <s v="2025-12-06"/>
    <s v="Pending"/>
    <s v="Delivered"/>
    <s v="Low"/>
  </r>
  <r>
    <s v="ORD0470"/>
    <s v="Customer 470"/>
    <s v="088324492118"/>
    <x v="4"/>
    <s v="Mouse"/>
    <n v="2"/>
    <n v="523186"/>
    <n v="1046372"/>
    <s v="2025-12-07"/>
    <s v="Pending"/>
    <s v="Processing"/>
    <s v="Medium"/>
  </r>
  <r>
    <s v="ORD0471"/>
    <s v="Customer 471"/>
    <s v="082479363583"/>
    <x v="3"/>
    <s v="SSD"/>
    <n v="1"/>
    <n v="916413"/>
    <n v="916413"/>
    <s v="2025-10-10"/>
    <s v="Paid"/>
    <s v="Delivered"/>
    <s v="Medium"/>
  </r>
  <r>
    <s v="ORD0472"/>
    <s v="Customer 472"/>
    <s v="089270231184"/>
    <x v="1"/>
    <s v="Headset"/>
    <n v="2"/>
    <n v="367940"/>
    <n v="735880"/>
    <s v="2025-04-21"/>
    <s v="Paid"/>
    <s v="Delivered"/>
    <s v="Medium"/>
  </r>
  <r>
    <s v="ORD0473"/>
    <s v="Customer 473"/>
    <s v="083935322805"/>
    <x v="2"/>
    <s v="Keyboard"/>
    <n v="2"/>
    <n v="947467"/>
    <n v="1894934"/>
    <s v="2025-03-06"/>
    <s v="Paid"/>
    <s v="Processing"/>
    <s v="Medium"/>
  </r>
  <r>
    <s v="ORD0474"/>
    <s v="Customer 474"/>
    <s v="082271626639"/>
    <x v="5"/>
    <s v="USB Cable"/>
    <n v="5"/>
    <n v="1030764"/>
    <n v="5153820"/>
    <s v="2025-09-13"/>
    <s v="Paid"/>
    <s v="Delivered"/>
    <s v="High"/>
  </r>
  <r>
    <s v="ORD0475"/>
    <s v="Customer 475"/>
    <s v="082218101588"/>
    <x v="4"/>
    <s v="Mouse"/>
    <n v="2"/>
    <n v="1005135"/>
    <n v="2010270"/>
    <s v="2025-10-13"/>
    <s v="Paid"/>
    <s v="Delivered"/>
    <s v="High"/>
  </r>
  <r>
    <s v="ORD0476"/>
    <s v="Customer 476"/>
    <s v="084379590988"/>
    <x v="2"/>
    <s v="Laptop Stand"/>
    <n v="3"/>
    <n v="1162120"/>
    <n v="3486360"/>
    <s v="2025-01-06"/>
    <s v="Paid"/>
    <s v="Processing"/>
    <s v="High"/>
  </r>
  <r>
    <s v="ORD0477"/>
    <s v="Customer 477"/>
    <s v="082589624029"/>
    <x v="5"/>
    <s v="Headset"/>
    <n v="4"/>
    <n v="1322814"/>
    <n v="5291256"/>
    <s v="2025-12-08"/>
    <s v="Paid"/>
    <s v="Shipped"/>
    <s v="High"/>
  </r>
  <r>
    <s v="ORD0478"/>
    <s v="Customer 478"/>
    <s v="083231927754"/>
    <x v="1"/>
    <s v="Laptop Stand"/>
    <n v="3"/>
    <n v="1366897"/>
    <n v="4100691"/>
    <s v="2025-10-24"/>
    <s v="Paid"/>
    <s v="Delivered"/>
    <s v="High"/>
  </r>
  <r>
    <s v="ORD0479"/>
    <s v="Customer 479"/>
    <s v="084060390261"/>
    <x v="6"/>
    <s v="Keyboard"/>
    <n v="5"/>
    <n v="957915"/>
    <n v="4789575"/>
    <s v="2025-04-08"/>
    <s v="Paid"/>
    <s v="Processing"/>
    <s v="High"/>
  </r>
  <r>
    <s v="ORD0480"/>
    <s v="Customer 480"/>
    <s v="087751676072"/>
    <x v="5"/>
    <s v="Laptop Stand"/>
    <n v="4"/>
    <n v="800796"/>
    <n v="3203184"/>
    <s v="2025-06-16"/>
    <s v="Pending"/>
    <s v="Processing"/>
    <s v="High"/>
  </r>
  <r>
    <s v="ORD0481"/>
    <s v="Customer 481"/>
    <s v="086549589795"/>
    <x v="6"/>
    <s v="Laptop Stand"/>
    <n v="4"/>
    <n v="832233"/>
    <n v="3328932"/>
    <s v="2025-10-22"/>
    <s v="Paid"/>
    <s v="Shipped"/>
    <s v="High"/>
  </r>
  <r>
    <s v="ORD0482"/>
    <s v="Customer 482"/>
    <s v="086918500274"/>
    <x v="1"/>
    <s v="Monitor"/>
    <n v="1"/>
    <n v="203861"/>
    <n v="203861"/>
    <s v="2025-04-17"/>
    <s v="Pending"/>
    <s v="Processing"/>
    <s v="Low"/>
  </r>
  <r>
    <s v="ORD0483"/>
    <s v="Customer 483"/>
    <s v="085181966368"/>
    <x v="4"/>
    <s v="Keyboard"/>
    <n v="5"/>
    <n v="1494240"/>
    <n v="7471200"/>
    <s v="2025-08-28"/>
    <s v="Pending"/>
    <s v="Processing"/>
    <s v="High"/>
  </r>
  <r>
    <s v="ORD0484"/>
    <s v="Customer 484"/>
    <s v="082647639901"/>
    <x v="2"/>
    <s v="SSD"/>
    <n v="2"/>
    <n v="152612"/>
    <n v="305224"/>
    <s v="2025-01-19"/>
    <s v="Pending"/>
    <s v="Shipped"/>
    <s v="Low"/>
  </r>
  <r>
    <s v="ORD0485"/>
    <s v="Customer 485"/>
    <s v="086613714514"/>
    <x v="4"/>
    <s v="Keyboard"/>
    <n v="5"/>
    <n v="1209694"/>
    <n v="6048470"/>
    <s v="2025-12-22"/>
    <s v="Pending"/>
    <s v="Processing"/>
    <s v="High"/>
  </r>
  <r>
    <s v="ORD0486"/>
    <s v="Customer 486"/>
    <s v="084938655715"/>
    <x v="4"/>
    <s v="SSD"/>
    <n v="1"/>
    <n v="333144"/>
    <n v="333144"/>
    <s v="2025-01-27"/>
    <s v="Paid"/>
    <s v="Delivered"/>
    <s v="Low"/>
  </r>
  <r>
    <s v="ORD0487"/>
    <s v="Customer 487"/>
    <s v="087821606749"/>
    <x v="3"/>
    <s v="Mouse"/>
    <n v="3"/>
    <n v="1312972"/>
    <n v="3938916"/>
    <s v="2025-12-06"/>
    <s v="Paid"/>
    <s v="Shipped"/>
    <s v="High"/>
  </r>
  <r>
    <s v="ORD0488"/>
    <s v="Customer 488"/>
    <s v="086200456255"/>
    <x v="6"/>
    <s v="Mouse"/>
    <n v="4"/>
    <n v="265600"/>
    <n v="1062400"/>
    <s v="2025-11-21"/>
    <s v="Pending"/>
    <s v="Shipped"/>
    <s v="Medium"/>
  </r>
  <r>
    <s v="ORD0489"/>
    <s v="Customer 489"/>
    <s v="081756471052"/>
    <x v="5"/>
    <s v="Mouse"/>
    <n v="4"/>
    <n v="1406392"/>
    <n v="5625568"/>
    <s v="2025-07-06"/>
    <s v="Paid"/>
    <s v="Processing"/>
    <s v="High"/>
  </r>
  <r>
    <s v="ORD0490"/>
    <s v="Customer 490"/>
    <s v="086731274464"/>
    <x v="5"/>
    <s v="SSD"/>
    <n v="2"/>
    <n v="1150666"/>
    <n v="2301332"/>
    <s v="2025-04-02"/>
    <s v="Paid"/>
    <s v="Delivered"/>
    <s v="High"/>
  </r>
  <r>
    <s v="ORD0491"/>
    <s v="Customer 491"/>
    <s v="082555099714"/>
    <x v="1"/>
    <s v="Headset"/>
    <n v="5"/>
    <n v="1158307"/>
    <n v="5791535"/>
    <s v="2025-01-27"/>
    <s v="Pending"/>
    <s v="Shipped"/>
    <s v="High"/>
  </r>
  <r>
    <s v="ORD0492"/>
    <s v="Customer 492"/>
    <s v="083319195212"/>
    <x v="2"/>
    <s v="Monitor"/>
    <n v="4"/>
    <n v="770529"/>
    <n v="3082116"/>
    <s v="2025-01-08"/>
    <s v="Paid"/>
    <s v="Delivered"/>
    <s v="High"/>
  </r>
  <r>
    <s v="ORD0493"/>
    <s v="Customer 493"/>
    <s v="086365667725"/>
    <x v="2"/>
    <s v="Keyboard"/>
    <n v="3"/>
    <n v="116498"/>
    <n v="349494"/>
    <s v="2025-05-29"/>
    <s v="Paid"/>
    <s v="Shipped"/>
    <s v="Low"/>
  </r>
  <r>
    <s v="ORD0494"/>
    <s v="Customer 494"/>
    <s v="082949336114"/>
    <x v="4"/>
    <s v="Laptop Stand"/>
    <n v="4"/>
    <n v="861933"/>
    <n v="3447732"/>
    <s v="2025-07-15"/>
    <s v="Paid"/>
    <s v="Processing"/>
    <s v="High"/>
  </r>
  <r>
    <s v="ORD0495"/>
    <s v="Customer 495"/>
    <s v="082072497280"/>
    <x v="5"/>
    <s v="Headset"/>
    <n v="2"/>
    <n v="505842"/>
    <n v="1011684"/>
    <s v="2025-11-12"/>
    <s v="Paid"/>
    <s v="Shipped"/>
    <s v="Medium"/>
  </r>
  <r>
    <s v="ORD0496"/>
    <s v="Customer 496"/>
    <s v="088312387799"/>
    <x v="2"/>
    <s v="SSD"/>
    <n v="2"/>
    <n v="678013"/>
    <n v="1356026"/>
    <s v="2025-07-26"/>
    <s v="Pending"/>
    <s v="Processing"/>
    <s v="Medium"/>
  </r>
  <r>
    <s v="ORD0497"/>
    <s v="Customer 497"/>
    <s v="086899297823"/>
    <x v="0"/>
    <s v="Laptop Stand"/>
    <n v="2"/>
    <n v="565529"/>
    <n v="1131058"/>
    <s v="2025-10-05"/>
    <s v="Pending"/>
    <s v="Shipped"/>
    <s v="Medium"/>
  </r>
  <r>
    <s v="ORD0498"/>
    <s v="Customer 498"/>
    <s v="083442075181"/>
    <x v="1"/>
    <s v="SSD"/>
    <n v="1"/>
    <n v="1491033"/>
    <n v="1491033"/>
    <s v="2025-12-14"/>
    <s v="Pending"/>
    <s v="Delivered"/>
    <s v="Medium"/>
  </r>
  <r>
    <s v="ORD0499"/>
    <s v="Customer 499"/>
    <s v="084287460335"/>
    <x v="2"/>
    <s v="Laptop Stand"/>
    <n v="4"/>
    <n v="1043108"/>
    <n v="4172432"/>
    <s v="2025-12-27"/>
    <s v="Paid"/>
    <s v="Delivered"/>
    <s v="High"/>
  </r>
  <r>
    <s v="ORD0500"/>
    <s v="Customer 500"/>
    <s v="086450531478"/>
    <x v="0"/>
    <s v="Keyboard"/>
    <n v="1"/>
    <n v="106132"/>
    <n v="106132"/>
    <s v="2025-05-19"/>
    <s v="Paid"/>
    <s v="Delivered"/>
    <s v="Low"/>
  </r>
  <r>
    <s v="ORD0501"/>
    <s v="Customer 501"/>
    <s v="088073964636"/>
    <x v="1"/>
    <s v="Monitor"/>
    <n v="2"/>
    <n v="534798"/>
    <n v="1069596"/>
    <s v="2025-02-13"/>
    <s v="Pending"/>
    <s v="Processing"/>
    <s v="Medium"/>
  </r>
  <r>
    <s v="ORD0502"/>
    <s v="Customer 502"/>
    <s v="088861350119"/>
    <x v="6"/>
    <s v="SSD"/>
    <n v="1"/>
    <n v="654566"/>
    <n v="654566"/>
    <s v="2025-02-23"/>
    <s v="Paid"/>
    <s v="Shipped"/>
    <s v="Medium"/>
  </r>
  <r>
    <s v="ORD0503"/>
    <s v="Customer 503"/>
    <s v="086304224589"/>
    <x v="6"/>
    <s v="Laptop Stand"/>
    <n v="5"/>
    <n v="1398154"/>
    <n v="6990770"/>
    <s v="2025-04-14"/>
    <s v="Paid"/>
    <s v="Shipped"/>
    <s v="High"/>
  </r>
  <r>
    <s v="ORD0504"/>
    <s v="Customer 504"/>
    <s v="088466524644"/>
    <x v="3"/>
    <s v="Monitor"/>
    <n v="5"/>
    <n v="172357"/>
    <n v="861785"/>
    <s v="2025-04-13"/>
    <s v="Paid"/>
    <s v="Processing"/>
    <s v="Medium"/>
  </r>
  <r>
    <s v="ORD0505"/>
    <s v="Customer 505"/>
    <s v="084347940226"/>
    <x v="4"/>
    <s v="USB Cable"/>
    <n v="2"/>
    <n v="518883"/>
    <n v="1037766"/>
    <s v="2025-09-06"/>
    <s v="Paid"/>
    <s v="Processing"/>
    <s v="Medium"/>
  </r>
  <r>
    <s v="ORD0506"/>
    <s v="Customer 506"/>
    <s v="086084718126"/>
    <x v="3"/>
    <s v="Headset"/>
    <n v="3"/>
    <n v="724761"/>
    <n v="2174283"/>
    <s v="2025-01-09"/>
    <s v="Pending"/>
    <s v="Processing"/>
    <s v="High"/>
  </r>
  <r>
    <s v="ORD0507"/>
    <s v="Customer 507"/>
    <s v="088777856436"/>
    <x v="0"/>
    <s v="SSD"/>
    <n v="2"/>
    <n v="396327"/>
    <n v="792654"/>
    <s v="2025-02-21"/>
    <s v="Paid"/>
    <s v="Processing"/>
    <s v="Medium"/>
  </r>
  <r>
    <s v="ORD0508"/>
    <s v="Customer 508"/>
    <s v="089384490907"/>
    <x v="1"/>
    <s v="Keyboard"/>
    <n v="5"/>
    <n v="566759"/>
    <n v="2833795"/>
    <s v="2025-05-11"/>
    <s v="Pending"/>
    <s v="Shipped"/>
    <s v="High"/>
  </r>
  <r>
    <s v="ORD0509"/>
    <s v="Customer 509"/>
    <s v="081730147341"/>
    <x v="4"/>
    <s v="Mouse"/>
    <n v="3"/>
    <n v="604042"/>
    <n v="1812126"/>
    <s v="2025-09-02"/>
    <s v="Pending"/>
    <s v="Delivered"/>
    <s v="Medium"/>
  </r>
  <r>
    <s v="ORD0510"/>
    <s v="Customer 510"/>
    <s v="082811120706"/>
    <x v="0"/>
    <s v="Monitor"/>
    <n v="4"/>
    <n v="1014470"/>
    <n v="4057880"/>
    <s v="2025-01-30"/>
    <s v="Paid"/>
    <s v="Delivered"/>
    <s v="High"/>
  </r>
  <r>
    <s v="ORD0511"/>
    <s v="Customer 511"/>
    <s v="083291593181"/>
    <x v="0"/>
    <s v="Keyboard"/>
    <n v="2"/>
    <n v="1410586"/>
    <n v="2821172"/>
    <s v="2025-09-15"/>
    <s v="Paid"/>
    <s v="Shipped"/>
    <s v="High"/>
  </r>
  <r>
    <s v="ORD0512"/>
    <s v="Customer 512"/>
    <s v="082615460959"/>
    <x v="1"/>
    <s v="Monitor"/>
    <n v="3"/>
    <n v="455108"/>
    <n v="1365324"/>
    <s v="2025-01-22"/>
    <s v="Paid"/>
    <s v="Delivered"/>
    <s v="Medium"/>
  </r>
  <r>
    <s v="ORD0513"/>
    <s v="Customer 513"/>
    <s v="089778776663"/>
    <x v="1"/>
    <s v="Laptop Stand"/>
    <n v="2"/>
    <n v="191516"/>
    <n v="383032"/>
    <s v="2025-02-21"/>
    <s v="Paid"/>
    <s v="Shipped"/>
    <s v="Low"/>
  </r>
  <r>
    <s v="ORD0514"/>
    <s v="Customer 514"/>
    <s v="089478973852"/>
    <x v="3"/>
    <s v="USB Cable"/>
    <n v="5"/>
    <n v="468607"/>
    <n v="2343035"/>
    <s v="2025-10-29"/>
    <s v="Pending"/>
    <s v="Shipped"/>
    <s v="High"/>
  </r>
  <r>
    <s v="ORD0515"/>
    <s v="Customer 515"/>
    <s v="087098482131"/>
    <x v="1"/>
    <s v="Keyboard"/>
    <n v="3"/>
    <n v="1296068"/>
    <n v="3888204"/>
    <s v="2025-03-21"/>
    <s v="Paid"/>
    <s v="Shipped"/>
    <s v="High"/>
  </r>
  <r>
    <s v="ORD0516"/>
    <s v="Customer 516"/>
    <s v="087612826260"/>
    <x v="1"/>
    <s v="USB Cable"/>
    <n v="1"/>
    <n v="216239"/>
    <n v="216239"/>
    <s v="2025-06-14"/>
    <s v="Paid"/>
    <s v="Processing"/>
    <s v="Low"/>
  </r>
  <r>
    <s v="ORD0517"/>
    <s v="Customer 517"/>
    <s v="088047282092"/>
    <x v="0"/>
    <s v="USB Cable"/>
    <n v="3"/>
    <n v="1309035"/>
    <n v="3927105"/>
    <s v="2025-12-16"/>
    <s v="Paid"/>
    <s v="Delivered"/>
    <s v="High"/>
  </r>
  <r>
    <s v="ORD0518"/>
    <s v="Customer 518"/>
    <s v="085236280556"/>
    <x v="4"/>
    <s v="Monitor"/>
    <n v="1"/>
    <n v="778741"/>
    <n v="778741"/>
    <s v="2025-04-04"/>
    <s v="Pending"/>
    <s v="Delivered"/>
    <s v="Medium"/>
  </r>
  <r>
    <s v="ORD0519"/>
    <s v="Customer 519"/>
    <s v="089784262456"/>
    <x v="1"/>
    <s v="Keyboard"/>
    <n v="1"/>
    <n v="1090633"/>
    <n v="1090633"/>
    <s v="2025-01-05"/>
    <s v="Pending"/>
    <s v="Delivered"/>
    <s v="Medium"/>
  </r>
  <r>
    <s v="ORD0520"/>
    <s v="Customer 520"/>
    <s v="089068421285"/>
    <x v="5"/>
    <s v="Keyboard"/>
    <n v="2"/>
    <n v="177766"/>
    <n v="355532"/>
    <s v="2025-11-21"/>
    <s v="Pending"/>
    <s v="Delivered"/>
    <s v="Low"/>
  </r>
  <r>
    <s v="ORD0521"/>
    <s v="Customer 521"/>
    <s v="089574720667"/>
    <x v="6"/>
    <s v="Laptop Stand"/>
    <n v="3"/>
    <n v="57165"/>
    <n v="171495"/>
    <s v="2025-01-22"/>
    <s v="Pending"/>
    <s v="Delivered"/>
    <s v="Low"/>
  </r>
  <r>
    <s v="ORD0522"/>
    <s v="Customer 522"/>
    <s v="087343818341"/>
    <x v="4"/>
    <s v="Headset"/>
    <n v="1"/>
    <n v="239989"/>
    <n v="239989"/>
    <s v="2025-08-12"/>
    <s v="Pending"/>
    <s v="Shipped"/>
    <s v="Low"/>
  </r>
  <r>
    <s v="ORD0523"/>
    <s v="Customer 523"/>
    <s v="083736341353"/>
    <x v="3"/>
    <s v="Keyboard"/>
    <n v="3"/>
    <n v="599938"/>
    <n v="1799814"/>
    <s v="2025-12-14"/>
    <s v="Paid"/>
    <s v="Shipped"/>
    <s v="Medium"/>
  </r>
  <r>
    <s v="ORD0524"/>
    <s v="Customer 524"/>
    <s v="081641310167"/>
    <x v="5"/>
    <s v="Mouse"/>
    <n v="1"/>
    <n v="1028722"/>
    <n v="1028722"/>
    <s v="2025-03-27"/>
    <s v="Pending"/>
    <s v="Delivered"/>
    <s v="Medium"/>
  </r>
  <r>
    <s v="ORD0525"/>
    <s v="Customer 525"/>
    <s v="088281834636"/>
    <x v="4"/>
    <s v="SSD"/>
    <n v="4"/>
    <n v="365816"/>
    <n v="1463264"/>
    <s v="2025-06-22"/>
    <s v="Paid"/>
    <s v="Processing"/>
    <s v="Medium"/>
  </r>
  <r>
    <s v="ORD0526"/>
    <s v="Customer 526"/>
    <s v="089831923118"/>
    <x v="3"/>
    <s v="SSD"/>
    <n v="4"/>
    <n v="402770"/>
    <n v="1611080"/>
    <s v="2025-07-07"/>
    <s v="Pending"/>
    <s v="Shipped"/>
    <s v="Medium"/>
  </r>
  <r>
    <s v="ORD0527"/>
    <s v="Customer 527"/>
    <s v="085836924701"/>
    <x v="0"/>
    <s v="USB Cable"/>
    <n v="1"/>
    <n v="204730"/>
    <n v="204730"/>
    <s v="2025-01-22"/>
    <s v="Paid"/>
    <s v="Delivered"/>
    <s v="Low"/>
  </r>
  <r>
    <s v="ORD0528"/>
    <s v="Customer 528"/>
    <s v="087051276110"/>
    <x v="0"/>
    <s v="Headset"/>
    <n v="2"/>
    <n v="1264125"/>
    <n v="2528250"/>
    <s v="2025-05-21"/>
    <s v="Paid"/>
    <s v="Processing"/>
    <s v="High"/>
  </r>
  <r>
    <s v="ORD0529"/>
    <s v="Customer 529"/>
    <s v="082235092250"/>
    <x v="6"/>
    <s v="Headset"/>
    <n v="2"/>
    <n v="405659"/>
    <n v="811318"/>
    <s v="2025-03-18"/>
    <s v="Pending"/>
    <s v="Processing"/>
    <s v="Medium"/>
  </r>
  <r>
    <s v="ORD0530"/>
    <s v="Customer 530"/>
    <s v="086050694216"/>
    <x v="0"/>
    <s v="Keyboard"/>
    <n v="1"/>
    <n v="456454"/>
    <n v="456454"/>
    <s v="2025-12-24"/>
    <s v="Paid"/>
    <s v="Processing"/>
    <s v="Low"/>
  </r>
  <r>
    <s v="ORD0531"/>
    <s v="Customer 531"/>
    <s v="085511540026"/>
    <x v="4"/>
    <s v="Monitor"/>
    <n v="2"/>
    <n v="252679"/>
    <n v="505358"/>
    <s v="2025-03-16"/>
    <s v="Paid"/>
    <s v="Delivered"/>
    <s v="Medium"/>
  </r>
  <r>
    <s v="ORD0532"/>
    <s v="Customer 532"/>
    <s v="087266354226"/>
    <x v="0"/>
    <s v="Laptop Stand"/>
    <n v="1"/>
    <n v="668545"/>
    <n v="668545"/>
    <s v="2025-11-22"/>
    <s v="Paid"/>
    <s v="Delivered"/>
    <s v="Medium"/>
  </r>
  <r>
    <s v="ORD0533"/>
    <s v="Customer 533"/>
    <s v="087054860215"/>
    <x v="3"/>
    <s v="USB Cable"/>
    <n v="2"/>
    <n v="1406419"/>
    <n v="2812838"/>
    <s v="2025-08-09"/>
    <s v="Pending"/>
    <s v="Processing"/>
    <s v="High"/>
  </r>
  <r>
    <s v="ORD0534"/>
    <s v="Customer 534"/>
    <s v="085277809313"/>
    <x v="2"/>
    <s v="Mouse"/>
    <n v="2"/>
    <n v="777066"/>
    <n v="1554132"/>
    <s v="2025-11-19"/>
    <s v="Pending"/>
    <s v="Shipped"/>
    <s v="Medium"/>
  </r>
  <r>
    <s v="ORD0535"/>
    <s v="Customer 535"/>
    <s v="081424858413"/>
    <x v="3"/>
    <s v="Laptop Stand"/>
    <n v="5"/>
    <n v="1258408"/>
    <n v="6292040"/>
    <s v="2025-05-27"/>
    <s v="Paid"/>
    <s v="Shipped"/>
    <s v="High"/>
  </r>
  <r>
    <s v="ORD0536"/>
    <s v="Customer 536"/>
    <s v="089797946953"/>
    <x v="0"/>
    <s v="Headset"/>
    <n v="1"/>
    <n v="356959"/>
    <n v="356959"/>
    <s v="2025-09-18"/>
    <s v="Pending"/>
    <s v="Processing"/>
    <s v="Low"/>
  </r>
  <r>
    <s v="ORD0537"/>
    <s v="Customer 537"/>
    <s v="085534423400"/>
    <x v="1"/>
    <s v="SSD"/>
    <n v="5"/>
    <n v="1352623"/>
    <n v="6763115"/>
    <s v="2025-01-10"/>
    <s v="Paid"/>
    <s v="Delivered"/>
    <s v="High"/>
  </r>
  <r>
    <s v="ORD0538"/>
    <s v="Customer 538"/>
    <s v="086266551868"/>
    <x v="1"/>
    <s v="SSD"/>
    <n v="3"/>
    <n v="950608"/>
    <n v="2851824"/>
    <s v="2025-03-10"/>
    <s v="Paid"/>
    <s v="Shipped"/>
    <s v="High"/>
  </r>
  <r>
    <s v="ORD0539"/>
    <s v="Customer 539"/>
    <s v="085068130722"/>
    <x v="6"/>
    <s v="Monitor"/>
    <n v="5"/>
    <n v="584008"/>
    <n v="2920040"/>
    <s v="2025-06-13"/>
    <s v="Paid"/>
    <s v="Shipped"/>
    <s v="High"/>
  </r>
  <r>
    <s v="ORD0540"/>
    <s v="Customer 540"/>
    <s v="085733605914"/>
    <x v="5"/>
    <s v="Keyboard"/>
    <n v="2"/>
    <n v="963332"/>
    <n v="1926664"/>
    <s v="2025-09-08"/>
    <s v="Paid"/>
    <s v="Delivered"/>
    <s v="Medium"/>
  </r>
  <r>
    <s v="ORD0541"/>
    <s v="Customer 541"/>
    <s v="087277928696"/>
    <x v="0"/>
    <s v="Keyboard"/>
    <n v="5"/>
    <n v="1340602"/>
    <n v="6703010"/>
    <s v="2025-11-10"/>
    <s v="Pending"/>
    <s v="Shipped"/>
    <s v="High"/>
  </r>
  <r>
    <s v="ORD0542"/>
    <s v="Customer 542"/>
    <s v="087960471892"/>
    <x v="1"/>
    <s v="Keyboard"/>
    <n v="1"/>
    <n v="529490"/>
    <n v="529490"/>
    <s v="2025-04-18"/>
    <s v="Paid"/>
    <s v="Shipped"/>
    <s v="Medium"/>
  </r>
  <r>
    <s v="ORD0543"/>
    <s v="Customer 543"/>
    <s v="087920942406"/>
    <x v="1"/>
    <s v="Headset"/>
    <n v="5"/>
    <n v="1143045"/>
    <n v="5715225"/>
    <s v="2025-05-18"/>
    <s v="Pending"/>
    <s v="Delivered"/>
    <s v="High"/>
  </r>
  <r>
    <s v="ORD0544"/>
    <s v="Customer 544"/>
    <s v="081259941402"/>
    <x v="3"/>
    <s v="Laptop Stand"/>
    <n v="5"/>
    <n v="1304753"/>
    <n v="6523765"/>
    <s v="2025-09-26"/>
    <s v="Paid"/>
    <s v="Shipped"/>
    <s v="High"/>
  </r>
  <r>
    <s v="ORD0545"/>
    <s v="Customer 545"/>
    <s v="081669675704"/>
    <x v="0"/>
    <s v="Mouse"/>
    <n v="5"/>
    <n v="112061"/>
    <n v="560305"/>
    <s v="2025-12-17"/>
    <s v="Paid"/>
    <s v="Processing"/>
    <s v="Medium"/>
  </r>
  <r>
    <s v="ORD0546"/>
    <s v="Customer 546"/>
    <s v="089928377989"/>
    <x v="6"/>
    <s v="SSD"/>
    <n v="5"/>
    <n v="265871"/>
    <n v="1329355"/>
    <s v="2025-04-17"/>
    <s v="Pending"/>
    <s v="Shipped"/>
    <s v="Medium"/>
  </r>
  <r>
    <s v="ORD0547"/>
    <s v="Customer 547"/>
    <s v="086222391529"/>
    <x v="4"/>
    <s v="SSD"/>
    <n v="2"/>
    <n v="352697"/>
    <n v="705394"/>
    <s v="2025-01-19"/>
    <s v="Paid"/>
    <s v="Delivered"/>
    <s v="Medium"/>
  </r>
  <r>
    <s v="ORD0548"/>
    <s v="Customer 548"/>
    <s v="082603868586"/>
    <x v="0"/>
    <s v="Keyboard"/>
    <n v="2"/>
    <n v="355419"/>
    <n v="710838"/>
    <s v="2025-04-20"/>
    <s v="Pending"/>
    <s v="Processing"/>
    <s v="Medium"/>
  </r>
  <r>
    <s v="ORD0549"/>
    <s v="Customer 549"/>
    <s v="086835804861"/>
    <x v="4"/>
    <s v="Monitor"/>
    <n v="1"/>
    <n v="1299635"/>
    <n v="1299635"/>
    <s v="2025-03-25"/>
    <s v="Paid"/>
    <s v="Delivered"/>
    <s v="Medium"/>
  </r>
  <r>
    <s v="ORD0550"/>
    <s v="Customer 550"/>
    <s v="084502914862"/>
    <x v="5"/>
    <s v="Keyboard"/>
    <n v="2"/>
    <n v="199160"/>
    <n v="398320"/>
    <s v="2025-02-20"/>
    <s v="Paid"/>
    <s v="Shipped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7D22C-D9EB-4781-9C0B-39190A61A7A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9" firstHeaderRow="1" firstDataRow="1" firstDataCol="1"/>
  <pivotFields count="12">
    <pivotField showAll="0"/>
    <pivotField showAll="0"/>
    <pivotField showAll="0"/>
    <pivotField axis="axisRow" showAll="0">
      <items count="9">
        <item x="3"/>
        <item x="1"/>
        <item x="6"/>
        <item x="0"/>
        <item x="2"/>
        <item x="4"/>
        <item x="5"/>
        <item n="Total" m="1" x="7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7" baseField="0" baseItem="0" numFmtId="164"/>
  </dataFields>
  <chartFormats count="1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4C793-45D3-4C90-BFAB-6DEC74B5BBFF}" name="Table2" displayName="Table2" ref="A1:L551" totalsRowShown="0">
  <autoFilter ref="A1:L551" xr:uid="{CCA4C793-45D3-4C90-BFAB-6DEC74B5BBFF}"/>
  <tableColumns count="12">
    <tableColumn id="1" xr3:uid="{108D95C2-F1D6-4151-A401-AACCF85420EB}" name="Order ID"/>
    <tableColumn id="2" xr3:uid="{DAAB50B4-FB9F-459E-B5D9-175F50598528}" name="Customer Name"/>
    <tableColumn id="3" xr3:uid="{DA308BF3-A96C-4B30-8044-80A167BA6337}" name="Phone Number"/>
    <tableColumn id="4" xr3:uid="{9DB9C310-CBEE-491C-A41A-9BEA1DAF4925}" name="City"/>
    <tableColumn id="5" xr3:uid="{C16E7C9F-93CF-46A6-A3E2-610D29A042F4}" name="Product Name"/>
    <tableColumn id="6" xr3:uid="{53DD7096-154B-4532-BD6E-A56B269A500F}" name="Quantity"/>
    <tableColumn id="7" xr3:uid="{29292B14-FA70-41D2-9C1C-D77E7BA30685}" name="Unit Price" dataDxfId="2"/>
    <tableColumn id="8" xr3:uid="{E7414845-DE68-4D9C-ACEE-300DB78765E8}" name="Total Price" dataDxfId="1"/>
    <tableColumn id="9" xr3:uid="{A262BFF2-A4F8-4F6E-8768-E38A954EA391}" name="Order Date"/>
    <tableColumn id="10" xr3:uid="{2541B101-C9AB-4C6D-8196-1F737B810D46}" name="Payment Status"/>
    <tableColumn id="11" xr3:uid="{1FCA6A24-E9C0-4E9D-982D-4BD4180EC46C}" name="Shipping Status"/>
    <tableColumn id="12" xr3:uid="{07A09D5E-6746-4026-A679-46120C5B8808}" name="Sales 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1"/>
  <sheetViews>
    <sheetView topLeftCell="A530" zoomScaleNormal="100" workbookViewId="0">
      <selection activeCell="A552" sqref="A552"/>
    </sheetView>
  </sheetViews>
  <sheetFormatPr defaultRowHeight="14.4" x14ac:dyDescent="0.3"/>
  <cols>
    <col min="1" max="1" width="12.6640625" bestFit="1" customWidth="1"/>
    <col min="2" max="2" width="16.44140625" customWidth="1"/>
    <col min="3" max="3" width="15.6640625" customWidth="1"/>
    <col min="4" max="4" width="10.109375" bestFit="1" customWidth="1"/>
    <col min="5" max="5" width="15" customWidth="1"/>
    <col min="6" max="6" width="10.21875" customWidth="1"/>
    <col min="7" max="7" width="13.77734375" bestFit="1" customWidth="1"/>
    <col min="8" max="8" width="17.44140625" bestFit="1" customWidth="1"/>
    <col min="9" max="9" width="12" customWidth="1"/>
    <col min="10" max="10" width="16.109375" customWidth="1"/>
    <col min="11" max="11" width="15.88671875" customWidth="1"/>
    <col min="12" max="12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1966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 s="1">
        <v>674193</v>
      </c>
      <c r="H2" s="1">
        <v>2022579</v>
      </c>
      <c r="I2" t="s">
        <v>16</v>
      </c>
      <c r="J2" t="s">
        <v>17</v>
      </c>
      <c r="K2" t="s">
        <v>18</v>
      </c>
      <c r="L2" t="str">
        <f>IF(H2&gt;2000000,"High",IF(H2&gt;500000,"Medium","Low"))</f>
        <v>High</v>
      </c>
    </row>
    <row r="3" spans="1:12" x14ac:dyDescent="0.3">
      <c r="A3" t="s">
        <v>19</v>
      </c>
      <c r="B3" t="s">
        <v>20</v>
      </c>
      <c r="C3" t="s">
        <v>21</v>
      </c>
      <c r="D3" t="s">
        <v>14</v>
      </c>
      <c r="E3" t="s">
        <v>15</v>
      </c>
      <c r="F3">
        <v>3</v>
      </c>
      <c r="G3" s="1">
        <v>1023919</v>
      </c>
      <c r="H3" s="1">
        <v>3071757</v>
      </c>
      <c r="I3" t="s">
        <v>22</v>
      </c>
      <c r="J3" t="s">
        <v>23</v>
      </c>
      <c r="K3" t="s">
        <v>18</v>
      </c>
      <c r="L3" t="str">
        <f t="shared" ref="L3:L66" si="0">IF(H3&gt;2000000,"High",IF(H3&gt;500000,"Medium","Low"))</f>
        <v>High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 t="s">
        <v>15</v>
      </c>
      <c r="F4">
        <v>3</v>
      </c>
      <c r="G4" s="1">
        <v>1467476</v>
      </c>
      <c r="H4" s="1">
        <v>4402428</v>
      </c>
      <c r="I4" t="s">
        <v>28</v>
      </c>
      <c r="J4" t="s">
        <v>23</v>
      </c>
      <c r="K4" t="s">
        <v>29</v>
      </c>
      <c r="L4" t="str">
        <f t="shared" si="0"/>
        <v>High</v>
      </c>
    </row>
    <row r="5" spans="1:12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4</v>
      </c>
      <c r="G5" s="1">
        <v>151320</v>
      </c>
      <c r="H5" s="1">
        <v>605280</v>
      </c>
      <c r="I5" t="s">
        <v>35</v>
      </c>
      <c r="J5" t="s">
        <v>23</v>
      </c>
      <c r="K5" t="s">
        <v>29</v>
      </c>
      <c r="L5" t="str">
        <f t="shared" si="0"/>
        <v>Medium</v>
      </c>
    </row>
    <row r="6" spans="1:12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5</v>
      </c>
      <c r="G6" s="1">
        <v>1077366</v>
      </c>
      <c r="H6" s="1">
        <v>5386830</v>
      </c>
      <c r="I6" t="s">
        <v>41</v>
      </c>
      <c r="J6" t="s">
        <v>17</v>
      </c>
      <c r="K6" t="s">
        <v>18</v>
      </c>
      <c r="L6" t="str">
        <f t="shared" si="0"/>
        <v>High</v>
      </c>
    </row>
    <row r="7" spans="1:12" x14ac:dyDescent="0.3">
      <c r="A7" t="s">
        <v>42</v>
      </c>
      <c r="B7" t="s">
        <v>43</v>
      </c>
      <c r="C7" t="s">
        <v>44</v>
      </c>
      <c r="D7" t="s">
        <v>39</v>
      </c>
      <c r="E7" t="s">
        <v>15</v>
      </c>
      <c r="F7">
        <v>2</v>
      </c>
      <c r="G7" s="1">
        <v>1123360</v>
      </c>
      <c r="H7" s="1">
        <v>2246720</v>
      </c>
      <c r="I7" t="s">
        <v>45</v>
      </c>
      <c r="J7" t="s">
        <v>23</v>
      </c>
      <c r="K7" t="s">
        <v>46</v>
      </c>
      <c r="L7" t="str">
        <f t="shared" si="0"/>
        <v>High</v>
      </c>
    </row>
    <row r="8" spans="1:12" x14ac:dyDescent="0.3">
      <c r="A8" t="s">
        <v>47</v>
      </c>
      <c r="B8" t="s">
        <v>48</v>
      </c>
      <c r="C8" t="s">
        <v>49</v>
      </c>
      <c r="D8" t="s">
        <v>50</v>
      </c>
      <c r="E8" t="s">
        <v>40</v>
      </c>
      <c r="F8">
        <v>5</v>
      </c>
      <c r="G8" s="1">
        <v>575280</v>
      </c>
      <c r="H8" s="1">
        <v>2876400</v>
      </c>
      <c r="I8" t="s">
        <v>51</v>
      </c>
      <c r="J8" t="s">
        <v>23</v>
      </c>
      <c r="K8" t="s">
        <v>46</v>
      </c>
      <c r="L8" t="str">
        <f t="shared" si="0"/>
        <v>High</v>
      </c>
    </row>
    <row r="9" spans="1:12" x14ac:dyDescent="0.3">
      <c r="A9" t="s">
        <v>52</v>
      </c>
      <c r="B9" t="s">
        <v>53</v>
      </c>
      <c r="C9" t="s">
        <v>54</v>
      </c>
      <c r="D9" t="s">
        <v>39</v>
      </c>
      <c r="E9" t="s">
        <v>55</v>
      </c>
      <c r="F9">
        <v>5</v>
      </c>
      <c r="G9" s="1">
        <v>358911</v>
      </c>
      <c r="H9" s="1">
        <v>1794555</v>
      </c>
      <c r="I9" t="s">
        <v>56</v>
      </c>
      <c r="J9" t="s">
        <v>23</v>
      </c>
      <c r="K9" t="s">
        <v>18</v>
      </c>
      <c r="L9" t="str">
        <f t="shared" si="0"/>
        <v>Medium</v>
      </c>
    </row>
    <row r="10" spans="1:12" x14ac:dyDescent="0.3">
      <c r="A10" t="s">
        <v>57</v>
      </c>
      <c r="B10" t="s">
        <v>58</v>
      </c>
      <c r="C10" t="s">
        <v>59</v>
      </c>
      <c r="D10" t="s">
        <v>33</v>
      </c>
      <c r="E10" t="s">
        <v>15</v>
      </c>
      <c r="F10">
        <v>5</v>
      </c>
      <c r="G10" s="1">
        <v>958002</v>
      </c>
      <c r="H10" s="1">
        <v>4790010</v>
      </c>
      <c r="I10" t="s">
        <v>60</v>
      </c>
      <c r="J10" t="s">
        <v>23</v>
      </c>
      <c r="K10" t="s">
        <v>46</v>
      </c>
      <c r="L10" t="str">
        <f t="shared" si="0"/>
        <v>High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 t="s">
        <v>34</v>
      </c>
      <c r="F11">
        <v>2</v>
      </c>
      <c r="G11" s="1">
        <v>997510</v>
      </c>
      <c r="H11" s="1">
        <v>1995020</v>
      </c>
      <c r="I11" t="s">
        <v>65</v>
      </c>
      <c r="J11" t="s">
        <v>23</v>
      </c>
      <c r="K11" t="s">
        <v>29</v>
      </c>
      <c r="L11" t="str">
        <f t="shared" si="0"/>
        <v>Medium</v>
      </c>
    </row>
    <row r="12" spans="1:12" x14ac:dyDescent="0.3">
      <c r="A12" t="s">
        <v>66</v>
      </c>
      <c r="B12" t="s">
        <v>67</v>
      </c>
      <c r="C12" t="s">
        <v>68</v>
      </c>
      <c r="D12" t="s">
        <v>50</v>
      </c>
      <c r="E12" t="s">
        <v>69</v>
      </c>
      <c r="F12">
        <v>5</v>
      </c>
      <c r="G12" s="1">
        <v>798174</v>
      </c>
      <c r="H12" s="1">
        <v>3990870</v>
      </c>
      <c r="I12" t="s">
        <v>70</v>
      </c>
      <c r="J12" t="s">
        <v>23</v>
      </c>
      <c r="K12" t="s">
        <v>18</v>
      </c>
      <c r="L12" t="str">
        <f t="shared" si="0"/>
        <v>High</v>
      </c>
    </row>
    <row r="13" spans="1:12" x14ac:dyDescent="0.3">
      <c r="A13" t="s">
        <v>71</v>
      </c>
      <c r="B13" t="s">
        <v>72</v>
      </c>
      <c r="C13" t="s">
        <v>73</v>
      </c>
      <c r="D13" t="s">
        <v>39</v>
      </c>
      <c r="E13" t="s">
        <v>74</v>
      </c>
      <c r="F13">
        <v>1</v>
      </c>
      <c r="G13" s="1">
        <v>636508</v>
      </c>
      <c r="H13" s="1">
        <v>636508</v>
      </c>
      <c r="I13" t="s">
        <v>75</v>
      </c>
      <c r="J13" t="s">
        <v>17</v>
      </c>
      <c r="K13" t="s">
        <v>29</v>
      </c>
      <c r="L13" t="str">
        <f t="shared" si="0"/>
        <v>Medium</v>
      </c>
    </row>
    <row r="14" spans="1:12" x14ac:dyDescent="0.3">
      <c r="A14" t="s">
        <v>76</v>
      </c>
      <c r="B14" t="s">
        <v>77</v>
      </c>
      <c r="C14" t="s">
        <v>78</v>
      </c>
      <c r="D14" t="s">
        <v>39</v>
      </c>
      <c r="E14" t="s">
        <v>74</v>
      </c>
      <c r="F14">
        <v>2</v>
      </c>
      <c r="G14" s="1">
        <v>872953</v>
      </c>
      <c r="H14" s="1">
        <v>1745906</v>
      </c>
      <c r="I14" t="s">
        <v>79</v>
      </c>
      <c r="J14" t="s">
        <v>17</v>
      </c>
      <c r="K14" t="s">
        <v>18</v>
      </c>
      <c r="L14" t="str">
        <f t="shared" si="0"/>
        <v>Medium</v>
      </c>
    </row>
    <row r="15" spans="1:12" x14ac:dyDescent="0.3">
      <c r="A15" t="s">
        <v>80</v>
      </c>
      <c r="B15" t="s">
        <v>81</v>
      </c>
      <c r="C15" t="s">
        <v>82</v>
      </c>
      <c r="D15" t="s">
        <v>33</v>
      </c>
      <c r="E15" t="s">
        <v>40</v>
      </c>
      <c r="F15">
        <v>1</v>
      </c>
      <c r="G15" s="1">
        <v>652289</v>
      </c>
      <c r="H15" s="1">
        <v>652289</v>
      </c>
      <c r="I15" t="s">
        <v>83</v>
      </c>
      <c r="J15" t="s">
        <v>17</v>
      </c>
      <c r="K15" t="s">
        <v>18</v>
      </c>
      <c r="L15" t="str">
        <f t="shared" si="0"/>
        <v>Medium</v>
      </c>
    </row>
    <row r="16" spans="1:12" x14ac:dyDescent="0.3">
      <c r="A16" t="s">
        <v>84</v>
      </c>
      <c r="B16" t="s">
        <v>85</v>
      </c>
      <c r="C16" t="s">
        <v>86</v>
      </c>
      <c r="D16" t="s">
        <v>64</v>
      </c>
      <c r="E16" t="s">
        <v>34</v>
      </c>
      <c r="F16">
        <v>5</v>
      </c>
      <c r="G16" s="1">
        <v>650695</v>
      </c>
      <c r="H16" s="1">
        <v>3253475</v>
      </c>
      <c r="I16" t="s">
        <v>87</v>
      </c>
      <c r="J16" t="s">
        <v>23</v>
      </c>
      <c r="K16" t="s">
        <v>46</v>
      </c>
      <c r="L16" t="str">
        <f t="shared" si="0"/>
        <v>High</v>
      </c>
    </row>
    <row r="17" spans="1:12" x14ac:dyDescent="0.3">
      <c r="A17" t="s">
        <v>88</v>
      </c>
      <c r="B17" t="s">
        <v>89</v>
      </c>
      <c r="C17" t="s">
        <v>90</v>
      </c>
      <c r="D17" t="s">
        <v>33</v>
      </c>
      <c r="E17" t="s">
        <v>74</v>
      </c>
      <c r="F17">
        <v>4</v>
      </c>
      <c r="G17" s="1">
        <v>1256096</v>
      </c>
      <c r="H17" s="1">
        <v>5024384</v>
      </c>
      <c r="I17" t="s">
        <v>91</v>
      </c>
      <c r="J17" t="s">
        <v>17</v>
      </c>
      <c r="K17" t="s">
        <v>18</v>
      </c>
      <c r="L17" t="str">
        <f t="shared" si="0"/>
        <v>High</v>
      </c>
    </row>
    <row r="18" spans="1:12" x14ac:dyDescent="0.3">
      <c r="A18" t="s">
        <v>92</v>
      </c>
      <c r="B18" t="s">
        <v>93</v>
      </c>
      <c r="C18" t="s">
        <v>94</v>
      </c>
      <c r="D18" t="s">
        <v>64</v>
      </c>
      <c r="E18" t="s">
        <v>15</v>
      </c>
      <c r="F18">
        <v>5</v>
      </c>
      <c r="G18" s="1">
        <v>422027</v>
      </c>
      <c r="H18" s="1">
        <v>2110135</v>
      </c>
      <c r="I18" t="s">
        <v>95</v>
      </c>
      <c r="J18" t="s">
        <v>23</v>
      </c>
      <c r="K18" t="s">
        <v>18</v>
      </c>
      <c r="L18" t="str">
        <f t="shared" si="0"/>
        <v>High</v>
      </c>
    </row>
    <row r="19" spans="1:12" x14ac:dyDescent="0.3">
      <c r="A19" t="s">
        <v>96</v>
      </c>
      <c r="B19" t="s">
        <v>97</v>
      </c>
      <c r="C19" t="s">
        <v>98</v>
      </c>
      <c r="D19" t="s">
        <v>14</v>
      </c>
      <c r="E19" t="s">
        <v>69</v>
      </c>
      <c r="F19">
        <v>2</v>
      </c>
      <c r="G19" s="1">
        <v>671000</v>
      </c>
      <c r="H19" s="1">
        <v>1342000</v>
      </c>
      <c r="I19" t="s">
        <v>99</v>
      </c>
      <c r="J19" t="s">
        <v>17</v>
      </c>
      <c r="K19" t="s">
        <v>46</v>
      </c>
      <c r="L19" t="str">
        <f t="shared" si="0"/>
        <v>Medium</v>
      </c>
    </row>
    <row r="20" spans="1:12" x14ac:dyDescent="0.3">
      <c r="A20" t="s">
        <v>100</v>
      </c>
      <c r="B20" t="s">
        <v>101</v>
      </c>
      <c r="C20" t="s">
        <v>102</v>
      </c>
      <c r="D20" t="s">
        <v>64</v>
      </c>
      <c r="E20" t="s">
        <v>55</v>
      </c>
      <c r="F20">
        <v>2</v>
      </c>
      <c r="G20" s="1">
        <v>468853</v>
      </c>
      <c r="H20" s="1">
        <v>937706</v>
      </c>
      <c r="I20" t="s">
        <v>103</v>
      </c>
      <c r="J20" t="s">
        <v>17</v>
      </c>
      <c r="K20" t="s">
        <v>18</v>
      </c>
      <c r="L20" t="str">
        <f t="shared" si="0"/>
        <v>Medium</v>
      </c>
    </row>
    <row r="21" spans="1:12" x14ac:dyDescent="0.3">
      <c r="A21" t="s">
        <v>104</v>
      </c>
      <c r="B21" t="s">
        <v>105</v>
      </c>
      <c r="C21" t="s">
        <v>106</v>
      </c>
      <c r="D21" t="s">
        <v>27</v>
      </c>
      <c r="E21" t="s">
        <v>69</v>
      </c>
      <c r="F21">
        <v>1</v>
      </c>
      <c r="G21" s="1">
        <v>1490602</v>
      </c>
      <c r="H21" s="1">
        <v>1490602</v>
      </c>
      <c r="I21" t="s">
        <v>107</v>
      </c>
      <c r="J21" t="s">
        <v>17</v>
      </c>
      <c r="K21" t="s">
        <v>29</v>
      </c>
      <c r="L21" t="str">
        <f t="shared" si="0"/>
        <v>Medium</v>
      </c>
    </row>
    <row r="22" spans="1:12" x14ac:dyDescent="0.3">
      <c r="A22" t="s">
        <v>108</v>
      </c>
      <c r="B22" t="s">
        <v>109</v>
      </c>
      <c r="C22" t="s">
        <v>110</v>
      </c>
      <c r="D22" t="s">
        <v>27</v>
      </c>
      <c r="E22" t="s">
        <v>74</v>
      </c>
      <c r="F22">
        <v>5</v>
      </c>
      <c r="G22" s="1">
        <v>920301</v>
      </c>
      <c r="H22" s="1">
        <v>4601505</v>
      </c>
      <c r="I22" t="s">
        <v>111</v>
      </c>
      <c r="J22" t="s">
        <v>17</v>
      </c>
      <c r="K22" t="s">
        <v>18</v>
      </c>
      <c r="L22" t="str">
        <f t="shared" si="0"/>
        <v>High</v>
      </c>
    </row>
    <row r="23" spans="1:12" x14ac:dyDescent="0.3">
      <c r="A23" t="s">
        <v>112</v>
      </c>
      <c r="B23" t="s">
        <v>113</v>
      </c>
      <c r="C23" t="s">
        <v>114</v>
      </c>
      <c r="D23" t="s">
        <v>50</v>
      </c>
      <c r="E23" t="s">
        <v>55</v>
      </c>
      <c r="F23">
        <v>3</v>
      </c>
      <c r="G23" s="1">
        <v>415413</v>
      </c>
      <c r="H23" s="1">
        <v>1246239</v>
      </c>
      <c r="I23" t="s">
        <v>115</v>
      </c>
      <c r="J23" t="s">
        <v>23</v>
      </c>
      <c r="K23" t="s">
        <v>18</v>
      </c>
      <c r="L23" t="str">
        <f t="shared" si="0"/>
        <v>Medium</v>
      </c>
    </row>
    <row r="24" spans="1:12" x14ac:dyDescent="0.3">
      <c r="A24" t="s">
        <v>116</v>
      </c>
      <c r="B24" t="s">
        <v>117</v>
      </c>
      <c r="C24" t="s">
        <v>118</v>
      </c>
      <c r="D24" t="s">
        <v>64</v>
      </c>
      <c r="E24" t="s">
        <v>34</v>
      </c>
      <c r="F24">
        <v>1</v>
      </c>
      <c r="G24" s="1">
        <v>187035</v>
      </c>
      <c r="H24" s="1">
        <v>187035</v>
      </c>
      <c r="I24" t="s">
        <v>119</v>
      </c>
      <c r="J24" t="s">
        <v>17</v>
      </c>
      <c r="K24" t="s">
        <v>29</v>
      </c>
      <c r="L24" t="str">
        <f t="shared" si="0"/>
        <v>Low</v>
      </c>
    </row>
    <row r="25" spans="1:12" x14ac:dyDescent="0.3">
      <c r="A25" t="s">
        <v>120</v>
      </c>
      <c r="B25" t="s">
        <v>121</v>
      </c>
      <c r="C25" t="s">
        <v>122</v>
      </c>
      <c r="D25" t="s">
        <v>123</v>
      </c>
      <c r="E25" t="s">
        <v>69</v>
      </c>
      <c r="F25">
        <v>4</v>
      </c>
      <c r="G25" s="1">
        <v>1328292</v>
      </c>
      <c r="H25" s="1">
        <v>5313168</v>
      </c>
      <c r="I25" t="s">
        <v>124</v>
      </c>
      <c r="J25" t="s">
        <v>23</v>
      </c>
      <c r="K25" t="s">
        <v>18</v>
      </c>
      <c r="L25" t="str">
        <f t="shared" si="0"/>
        <v>High</v>
      </c>
    </row>
    <row r="26" spans="1:12" x14ac:dyDescent="0.3">
      <c r="A26" t="s">
        <v>125</v>
      </c>
      <c r="B26" t="s">
        <v>126</v>
      </c>
      <c r="C26" t="s">
        <v>127</v>
      </c>
      <c r="D26" t="s">
        <v>27</v>
      </c>
      <c r="E26" t="s">
        <v>34</v>
      </c>
      <c r="F26">
        <v>1</v>
      </c>
      <c r="G26" s="1">
        <v>782485</v>
      </c>
      <c r="H26" s="1">
        <v>782485</v>
      </c>
      <c r="I26" t="s">
        <v>128</v>
      </c>
      <c r="J26" t="s">
        <v>23</v>
      </c>
      <c r="K26" t="s">
        <v>46</v>
      </c>
      <c r="L26" t="str">
        <f t="shared" si="0"/>
        <v>Medium</v>
      </c>
    </row>
    <row r="27" spans="1:12" x14ac:dyDescent="0.3">
      <c r="A27" t="s">
        <v>129</v>
      </c>
      <c r="B27" t="s">
        <v>130</v>
      </c>
      <c r="C27" t="s">
        <v>131</v>
      </c>
      <c r="D27" t="s">
        <v>123</v>
      </c>
      <c r="E27" t="s">
        <v>34</v>
      </c>
      <c r="F27">
        <v>4</v>
      </c>
      <c r="G27" s="1">
        <v>814328</v>
      </c>
      <c r="H27" s="1">
        <v>3257312</v>
      </c>
      <c r="I27" t="s">
        <v>132</v>
      </c>
      <c r="J27" t="s">
        <v>17</v>
      </c>
      <c r="K27" t="s">
        <v>18</v>
      </c>
      <c r="L27" t="str">
        <f t="shared" si="0"/>
        <v>High</v>
      </c>
    </row>
    <row r="28" spans="1:12" x14ac:dyDescent="0.3">
      <c r="A28" t="s">
        <v>133</v>
      </c>
      <c r="B28" t="s">
        <v>134</v>
      </c>
      <c r="C28" t="s">
        <v>135</v>
      </c>
      <c r="D28" t="s">
        <v>33</v>
      </c>
      <c r="E28" t="s">
        <v>74</v>
      </c>
      <c r="F28">
        <v>4</v>
      </c>
      <c r="G28" s="1">
        <v>903544</v>
      </c>
      <c r="H28" s="1">
        <v>3614176</v>
      </c>
      <c r="I28" t="s">
        <v>136</v>
      </c>
      <c r="J28" t="s">
        <v>17</v>
      </c>
      <c r="K28" t="s">
        <v>29</v>
      </c>
      <c r="L28" t="str">
        <f t="shared" si="0"/>
        <v>High</v>
      </c>
    </row>
    <row r="29" spans="1:12" x14ac:dyDescent="0.3">
      <c r="A29" t="s">
        <v>137</v>
      </c>
      <c r="B29" t="s">
        <v>138</v>
      </c>
      <c r="C29" t="s">
        <v>139</v>
      </c>
      <c r="D29" t="s">
        <v>14</v>
      </c>
      <c r="E29" t="s">
        <v>55</v>
      </c>
      <c r="F29">
        <v>2</v>
      </c>
      <c r="G29" s="1">
        <v>195223</v>
      </c>
      <c r="H29" s="1">
        <v>390446</v>
      </c>
      <c r="I29" t="s">
        <v>140</v>
      </c>
      <c r="J29" t="s">
        <v>17</v>
      </c>
      <c r="K29" t="s">
        <v>29</v>
      </c>
      <c r="L29" t="str">
        <f t="shared" si="0"/>
        <v>Low</v>
      </c>
    </row>
    <row r="30" spans="1:12" x14ac:dyDescent="0.3">
      <c r="A30" t="s">
        <v>141</v>
      </c>
      <c r="B30" t="s">
        <v>142</v>
      </c>
      <c r="C30" t="s">
        <v>143</v>
      </c>
      <c r="D30" t="s">
        <v>14</v>
      </c>
      <c r="E30" t="s">
        <v>69</v>
      </c>
      <c r="F30">
        <v>3</v>
      </c>
      <c r="G30" s="1">
        <v>1069521</v>
      </c>
      <c r="H30" s="1">
        <v>3208563</v>
      </c>
      <c r="I30" t="s">
        <v>144</v>
      </c>
      <c r="J30" t="s">
        <v>23</v>
      </c>
      <c r="K30" t="s">
        <v>29</v>
      </c>
      <c r="L30" t="str">
        <f t="shared" si="0"/>
        <v>High</v>
      </c>
    </row>
    <row r="31" spans="1:12" x14ac:dyDescent="0.3">
      <c r="A31" t="s">
        <v>145</v>
      </c>
      <c r="B31" t="s">
        <v>146</v>
      </c>
      <c r="C31" t="s">
        <v>147</v>
      </c>
      <c r="D31" t="s">
        <v>123</v>
      </c>
      <c r="E31" t="s">
        <v>74</v>
      </c>
      <c r="F31">
        <v>5</v>
      </c>
      <c r="G31" s="1">
        <v>1245793</v>
      </c>
      <c r="H31" s="1">
        <v>6228965</v>
      </c>
      <c r="I31" t="s">
        <v>148</v>
      </c>
      <c r="J31" t="s">
        <v>23</v>
      </c>
      <c r="K31" t="s">
        <v>29</v>
      </c>
      <c r="L31" t="str">
        <f t="shared" si="0"/>
        <v>High</v>
      </c>
    </row>
    <row r="32" spans="1:12" x14ac:dyDescent="0.3">
      <c r="A32" t="s">
        <v>149</v>
      </c>
      <c r="B32" t="s">
        <v>150</v>
      </c>
      <c r="C32" t="s">
        <v>151</v>
      </c>
      <c r="D32" t="s">
        <v>123</v>
      </c>
      <c r="E32" t="s">
        <v>40</v>
      </c>
      <c r="F32">
        <v>3</v>
      </c>
      <c r="G32" s="1">
        <v>1285455</v>
      </c>
      <c r="H32" s="1">
        <v>3856365</v>
      </c>
      <c r="I32" t="s">
        <v>152</v>
      </c>
      <c r="J32" t="s">
        <v>17</v>
      </c>
      <c r="K32" t="s">
        <v>29</v>
      </c>
      <c r="L32" t="str">
        <f t="shared" si="0"/>
        <v>High</v>
      </c>
    </row>
    <row r="33" spans="1:12" x14ac:dyDescent="0.3">
      <c r="A33" t="s">
        <v>153</v>
      </c>
      <c r="B33" t="s">
        <v>154</v>
      </c>
      <c r="C33" t="s">
        <v>155</v>
      </c>
      <c r="D33" t="s">
        <v>39</v>
      </c>
      <c r="E33" t="s">
        <v>15</v>
      </c>
      <c r="F33">
        <v>4</v>
      </c>
      <c r="G33" s="1">
        <v>681130</v>
      </c>
      <c r="H33" s="1">
        <v>2724520</v>
      </c>
      <c r="I33" t="s">
        <v>75</v>
      </c>
      <c r="J33" t="s">
        <v>23</v>
      </c>
      <c r="K33" t="s">
        <v>18</v>
      </c>
      <c r="L33" t="str">
        <f t="shared" si="0"/>
        <v>High</v>
      </c>
    </row>
    <row r="34" spans="1:12" x14ac:dyDescent="0.3">
      <c r="A34" t="s">
        <v>156</v>
      </c>
      <c r="B34" t="s">
        <v>157</v>
      </c>
      <c r="C34" t="s">
        <v>158</v>
      </c>
      <c r="D34" t="s">
        <v>14</v>
      </c>
      <c r="E34" t="s">
        <v>34</v>
      </c>
      <c r="F34">
        <v>4</v>
      </c>
      <c r="G34" s="1">
        <v>846902</v>
      </c>
      <c r="H34" s="1">
        <v>3387608</v>
      </c>
      <c r="I34" t="s">
        <v>159</v>
      </c>
      <c r="J34" t="s">
        <v>17</v>
      </c>
      <c r="K34" t="s">
        <v>46</v>
      </c>
      <c r="L34" t="str">
        <f t="shared" si="0"/>
        <v>High</v>
      </c>
    </row>
    <row r="35" spans="1:12" x14ac:dyDescent="0.3">
      <c r="A35" t="s">
        <v>160</v>
      </c>
      <c r="B35" t="s">
        <v>161</v>
      </c>
      <c r="C35" t="s">
        <v>162</v>
      </c>
      <c r="D35" t="s">
        <v>64</v>
      </c>
      <c r="E35" t="s">
        <v>163</v>
      </c>
      <c r="F35">
        <v>4</v>
      </c>
      <c r="G35" s="1">
        <v>129748</v>
      </c>
      <c r="H35" s="1">
        <v>518992</v>
      </c>
      <c r="I35" t="s">
        <v>164</v>
      </c>
      <c r="J35" t="s">
        <v>23</v>
      </c>
      <c r="K35" t="s">
        <v>46</v>
      </c>
      <c r="L35" t="str">
        <f t="shared" si="0"/>
        <v>Medium</v>
      </c>
    </row>
    <row r="36" spans="1:12" x14ac:dyDescent="0.3">
      <c r="A36" t="s">
        <v>165</v>
      </c>
      <c r="B36" t="s">
        <v>166</v>
      </c>
      <c r="C36" t="s">
        <v>167</v>
      </c>
      <c r="D36" t="s">
        <v>123</v>
      </c>
      <c r="E36" t="s">
        <v>34</v>
      </c>
      <c r="F36">
        <v>5</v>
      </c>
      <c r="G36" s="1">
        <v>1408911</v>
      </c>
      <c r="H36" s="1">
        <v>7044555</v>
      </c>
      <c r="I36" t="s">
        <v>168</v>
      </c>
      <c r="J36" t="s">
        <v>17</v>
      </c>
      <c r="K36" t="s">
        <v>18</v>
      </c>
      <c r="L36" t="str">
        <f t="shared" si="0"/>
        <v>High</v>
      </c>
    </row>
    <row r="37" spans="1:12" x14ac:dyDescent="0.3">
      <c r="A37" t="s">
        <v>169</v>
      </c>
      <c r="B37" t="s">
        <v>170</v>
      </c>
      <c r="C37" t="s">
        <v>171</v>
      </c>
      <c r="D37" t="s">
        <v>14</v>
      </c>
      <c r="E37" t="s">
        <v>69</v>
      </c>
      <c r="F37">
        <v>1</v>
      </c>
      <c r="G37" s="1">
        <v>845055</v>
      </c>
      <c r="H37" s="1">
        <v>845055</v>
      </c>
      <c r="I37" t="s">
        <v>172</v>
      </c>
      <c r="J37" t="s">
        <v>23</v>
      </c>
      <c r="K37" t="s">
        <v>46</v>
      </c>
      <c r="L37" t="str">
        <f t="shared" si="0"/>
        <v>Medium</v>
      </c>
    </row>
    <row r="38" spans="1:12" x14ac:dyDescent="0.3">
      <c r="A38" t="s">
        <v>173</v>
      </c>
      <c r="B38" t="s">
        <v>174</v>
      </c>
      <c r="C38" t="s">
        <v>175</v>
      </c>
      <c r="D38" t="s">
        <v>50</v>
      </c>
      <c r="E38" t="s">
        <v>40</v>
      </c>
      <c r="F38">
        <v>1</v>
      </c>
      <c r="G38" s="1">
        <v>77599</v>
      </c>
      <c r="H38" s="1">
        <v>77599</v>
      </c>
      <c r="I38" t="s">
        <v>176</v>
      </c>
      <c r="J38" t="s">
        <v>17</v>
      </c>
      <c r="K38" t="s">
        <v>18</v>
      </c>
      <c r="L38" t="str">
        <f t="shared" si="0"/>
        <v>Low</v>
      </c>
    </row>
    <row r="39" spans="1:12" x14ac:dyDescent="0.3">
      <c r="A39" t="s">
        <v>177</v>
      </c>
      <c r="B39" t="s">
        <v>178</v>
      </c>
      <c r="C39" t="s">
        <v>179</v>
      </c>
      <c r="D39" t="s">
        <v>39</v>
      </c>
      <c r="E39" t="s">
        <v>163</v>
      </c>
      <c r="F39">
        <v>1</v>
      </c>
      <c r="G39" s="1">
        <v>125252</v>
      </c>
      <c r="H39" s="1">
        <v>125252</v>
      </c>
      <c r="I39" t="s">
        <v>180</v>
      </c>
      <c r="J39" t="s">
        <v>23</v>
      </c>
      <c r="K39" t="s">
        <v>46</v>
      </c>
      <c r="L39" t="str">
        <f t="shared" si="0"/>
        <v>Low</v>
      </c>
    </row>
    <row r="40" spans="1:12" x14ac:dyDescent="0.3">
      <c r="A40" t="s">
        <v>181</v>
      </c>
      <c r="B40" t="s">
        <v>182</v>
      </c>
      <c r="C40" t="s">
        <v>183</v>
      </c>
      <c r="D40" t="s">
        <v>50</v>
      </c>
      <c r="E40" t="s">
        <v>69</v>
      </c>
      <c r="F40">
        <v>4</v>
      </c>
      <c r="G40" s="1">
        <v>1369725</v>
      </c>
      <c r="H40" s="1">
        <v>5478900</v>
      </c>
      <c r="I40" t="s">
        <v>184</v>
      </c>
      <c r="J40" t="s">
        <v>23</v>
      </c>
      <c r="K40" t="s">
        <v>46</v>
      </c>
      <c r="L40" t="str">
        <f t="shared" si="0"/>
        <v>High</v>
      </c>
    </row>
    <row r="41" spans="1:12" x14ac:dyDescent="0.3">
      <c r="A41" t="s">
        <v>185</v>
      </c>
      <c r="B41" t="s">
        <v>186</v>
      </c>
      <c r="C41" t="s">
        <v>187</v>
      </c>
      <c r="D41" t="s">
        <v>50</v>
      </c>
      <c r="E41" t="s">
        <v>34</v>
      </c>
      <c r="F41">
        <v>1</v>
      </c>
      <c r="G41" s="1">
        <v>372781</v>
      </c>
      <c r="H41" s="1">
        <v>372781</v>
      </c>
      <c r="I41" t="s">
        <v>188</v>
      </c>
      <c r="J41" t="s">
        <v>23</v>
      </c>
      <c r="K41" t="s">
        <v>29</v>
      </c>
      <c r="L41" t="str">
        <f t="shared" si="0"/>
        <v>Low</v>
      </c>
    </row>
    <row r="42" spans="1:12" x14ac:dyDescent="0.3">
      <c r="A42" t="s">
        <v>189</v>
      </c>
      <c r="B42" t="s">
        <v>190</v>
      </c>
      <c r="C42" t="s">
        <v>191</v>
      </c>
      <c r="D42" t="s">
        <v>27</v>
      </c>
      <c r="E42" t="s">
        <v>15</v>
      </c>
      <c r="F42">
        <v>2</v>
      </c>
      <c r="G42" s="1">
        <v>527594</v>
      </c>
      <c r="H42" s="1">
        <v>1055188</v>
      </c>
      <c r="I42" t="s">
        <v>192</v>
      </c>
      <c r="J42" t="s">
        <v>17</v>
      </c>
      <c r="K42" t="s">
        <v>18</v>
      </c>
      <c r="L42" t="str">
        <f t="shared" si="0"/>
        <v>Medium</v>
      </c>
    </row>
    <row r="43" spans="1:12" x14ac:dyDescent="0.3">
      <c r="A43" t="s">
        <v>193</v>
      </c>
      <c r="B43" t="s">
        <v>194</v>
      </c>
      <c r="C43" t="s">
        <v>195</v>
      </c>
      <c r="D43" t="s">
        <v>27</v>
      </c>
      <c r="E43" t="s">
        <v>40</v>
      </c>
      <c r="F43">
        <v>1</v>
      </c>
      <c r="G43" s="1">
        <v>1456494</v>
      </c>
      <c r="H43" s="1">
        <v>1456494</v>
      </c>
      <c r="I43" t="s">
        <v>196</v>
      </c>
      <c r="J43" t="s">
        <v>17</v>
      </c>
      <c r="K43" t="s">
        <v>29</v>
      </c>
      <c r="L43" t="str">
        <f t="shared" si="0"/>
        <v>Medium</v>
      </c>
    </row>
    <row r="44" spans="1:12" x14ac:dyDescent="0.3">
      <c r="A44" t="s">
        <v>197</v>
      </c>
      <c r="B44" t="s">
        <v>198</v>
      </c>
      <c r="C44" t="s">
        <v>199</v>
      </c>
      <c r="D44" t="s">
        <v>64</v>
      </c>
      <c r="E44" t="s">
        <v>55</v>
      </c>
      <c r="F44">
        <v>2</v>
      </c>
      <c r="G44" s="1">
        <v>126732</v>
      </c>
      <c r="H44" s="1">
        <v>253464</v>
      </c>
      <c r="I44" t="s">
        <v>200</v>
      </c>
      <c r="J44" t="s">
        <v>17</v>
      </c>
      <c r="K44" t="s">
        <v>46</v>
      </c>
      <c r="L44" t="str">
        <f t="shared" si="0"/>
        <v>Low</v>
      </c>
    </row>
    <row r="45" spans="1:12" x14ac:dyDescent="0.3">
      <c r="A45" t="s">
        <v>201</v>
      </c>
      <c r="B45" t="s">
        <v>202</v>
      </c>
      <c r="C45" t="s">
        <v>203</v>
      </c>
      <c r="D45" t="s">
        <v>27</v>
      </c>
      <c r="E45" t="s">
        <v>69</v>
      </c>
      <c r="F45">
        <v>2</v>
      </c>
      <c r="G45" s="1">
        <v>568812</v>
      </c>
      <c r="H45" s="1">
        <v>1137624</v>
      </c>
      <c r="I45" t="s">
        <v>204</v>
      </c>
      <c r="J45" t="s">
        <v>17</v>
      </c>
      <c r="K45" t="s">
        <v>18</v>
      </c>
      <c r="L45" t="str">
        <f t="shared" si="0"/>
        <v>Medium</v>
      </c>
    </row>
    <row r="46" spans="1:12" x14ac:dyDescent="0.3">
      <c r="A46" t="s">
        <v>205</v>
      </c>
      <c r="B46" t="s">
        <v>206</v>
      </c>
      <c r="C46" t="s">
        <v>207</v>
      </c>
      <c r="D46" t="s">
        <v>123</v>
      </c>
      <c r="E46" t="s">
        <v>15</v>
      </c>
      <c r="F46">
        <v>4</v>
      </c>
      <c r="G46" s="1">
        <v>809861</v>
      </c>
      <c r="H46" s="1">
        <v>3239444</v>
      </c>
      <c r="I46" t="s">
        <v>208</v>
      </c>
      <c r="J46" t="s">
        <v>17</v>
      </c>
      <c r="K46" t="s">
        <v>18</v>
      </c>
      <c r="L46" t="str">
        <f t="shared" si="0"/>
        <v>High</v>
      </c>
    </row>
    <row r="47" spans="1:12" x14ac:dyDescent="0.3">
      <c r="A47" t="s">
        <v>209</v>
      </c>
      <c r="B47" t="s">
        <v>210</v>
      </c>
      <c r="C47" t="s">
        <v>211</v>
      </c>
      <c r="D47" t="s">
        <v>39</v>
      </c>
      <c r="E47" t="s">
        <v>15</v>
      </c>
      <c r="F47">
        <v>1</v>
      </c>
      <c r="G47" s="1">
        <v>517473</v>
      </c>
      <c r="H47" s="1">
        <v>517473</v>
      </c>
      <c r="I47" t="s">
        <v>212</v>
      </c>
      <c r="J47" t="s">
        <v>23</v>
      </c>
      <c r="K47" t="s">
        <v>18</v>
      </c>
      <c r="L47" t="str">
        <f t="shared" si="0"/>
        <v>Medium</v>
      </c>
    </row>
    <row r="48" spans="1:12" x14ac:dyDescent="0.3">
      <c r="A48" t="s">
        <v>213</v>
      </c>
      <c r="B48" t="s">
        <v>214</v>
      </c>
      <c r="C48" t="s">
        <v>215</v>
      </c>
      <c r="D48" t="s">
        <v>50</v>
      </c>
      <c r="E48" t="s">
        <v>40</v>
      </c>
      <c r="F48">
        <v>2</v>
      </c>
      <c r="G48" s="1">
        <v>306741</v>
      </c>
      <c r="H48" s="1">
        <v>613482</v>
      </c>
      <c r="I48" t="s">
        <v>216</v>
      </c>
      <c r="J48" t="s">
        <v>23</v>
      </c>
      <c r="K48" t="s">
        <v>18</v>
      </c>
      <c r="L48" t="str">
        <f t="shared" si="0"/>
        <v>Medium</v>
      </c>
    </row>
    <row r="49" spans="1:12" x14ac:dyDescent="0.3">
      <c r="A49" t="s">
        <v>217</v>
      </c>
      <c r="B49" t="s">
        <v>218</v>
      </c>
      <c r="C49" t="s">
        <v>219</v>
      </c>
      <c r="D49" t="s">
        <v>39</v>
      </c>
      <c r="E49" t="s">
        <v>163</v>
      </c>
      <c r="F49">
        <v>3</v>
      </c>
      <c r="G49" s="1">
        <v>1486059</v>
      </c>
      <c r="H49" s="1">
        <v>4458177</v>
      </c>
      <c r="I49" t="s">
        <v>220</v>
      </c>
      <c r="J49" t="s">
        <v>23</v>
      </c>
      <c r="K49" t="s">
        <v>29</v>
      </c>
      <c r="L49" t="str">
        <f t="shared" si="0"/>
        <v>High</v>
      </c>
    </row>
    <row r="50" spans="1:12" x14ac:dyDescent="0.3">
      <c r="A50" t="s">
        <v>221</v>
      </c>
      <c r="B50" t="s">
        <v>222</v>
      </c>
      <c r="C50" t="s">
        <v>223</v>
      </c>
      <c r="D50" t="s">
        <v>64</v>
      </c>
      <c r="E50" t="s">
        <v>163</v>
      </c>
      <c r="F50">
        <v>4</v>
      </c>
      <c r="G50" s="1">
        <v>580001</v>
      </c>
      <c r="H50" s="1">
        <v>2320004</v>
      </c>
      <c r="I50" t="s">
        <v>224</v>
      </c>
      <c r="J50" t="s">
        <v>17</v>
      </c>
      <c r="K50" t="s">
        <v>18</v>
      </c>
      <c r="L50" t="str">
        <f t="shared" si="0"/>
        <v>High</v>
      </c>
    </row>
    <row r="51" spans="1:12" x14ac:dyDescent="0.3">
      <c r="A51" t="s">
        <v>225</v>
      </c>
      <c r="B51" t="s">
        <v>226</v>
      </c>
      <c r="C51" t="s">
        <v>227</v>
      </c>
      <c r="D51" t="s">
        <v>27</v>
      </c>
      <c r="E51" t="s">
        <v>55</v>
      </c>
      <c r="F51">
        <v>3</v>
      </c>
      <c r="G51" s="1">
        <v>595246</v>
      </c>
      <c r="H51" s="1">
        <v>1785738</v>
      </c>
      <c r="I51" t="s">
        <v>228</v>
      </c>
      <c r="J51" t="s">
        <v>17</v>
      </c>
      <c r="K51" t="s">
        <v>46</v>
      </c>
      <c r="L51" t="str">
        <f t="shared" si="0"/>
        <v>Medium</v>
      </c>
    </row>
    <row r="52" spans="1:12" x14ac:dyDescent="0.3">
      <c r="A52" t="s">
        <v>229</v>
      </c>
      <c r="B52" t="s">
        <v>230</v>
      </c>
      <c r="C52" t="s">
        <v>231</v>
      </c>
      <c r="D52" t="s">
        <v>39</v>
      </c>
      <c r="E52" t="s">
        <v>74</v>
      </c>
      <c r="F52">
        <v>5</v>
      </c>
      <c r="G52" s="1">
        <v>437963</v>
      </c>
      <c r="H52" s="1">
        <v>2189815</v>
      </c>
      <c r="I52" t="s">
        <v>232</v>
      </c>
      <c r="J52" t="s">
        <v>23</v>
      </c>
      <c r="K52" t="s">
        <v>29</v>
      </c>
      <c r="L52" t="str">
        <f t="shared" si="0"/>
        <v>High</v>
      </c>
    </row>
    <row r="53" spans="1:12" x14ac:dyDescent="0.3">
      <c r="A53" t="s">
        <v>233</v>
      </c>
      <c r="B53" t="s">
        <v>234</v>
      </c>
      <c r="C53" t="s">
        <v>235</v>
      </c>
      <c r="D53" t="s">
        <v>33</v>
      </c>
      <c r="E53" t="s">
        <v>15</v>
      </c>
      <c r="F53">
        <v>5</v>
      </c>
      <c r="G53" s="1">
        <v>231290</v>
      </c>
      <c r="H53" s="1">
        <v>1156450</v>
      </c>
      <c r="I53" t="s">
        <v>124</v>
      </c>
      <c r="J53" t="s">
        <v>23</v>
      </c>
      <c r="K53" t="s">
        <v>46</v>
      </c>
      <c r="L53" t="str">
        <f t="shared" si="0"/>
        <v>Medium</v>
      </c>
    </row>
    <row r="54" spans="1:12" x14ac:dyDescent="0.3">
      <c r="A54" t="s">
        <v>236</v>
      </c>
      <c r="B54" t="s">
        <v>237</v>
      </c>
      <c r="C54" t="s">
        <v>238</v>
      </c>
      <c r="D54" t="s">
        <v>50</v>
      </c>
      <c r="E54" t="s">
        <v>74</v>
      </c>
      <c r="F54">
        <v>3</v>
      </c>
      <c r="G54" s="1">
        <v>1380136</v>
      </c>
      <c r="H54" s="1">
        <v>4140408</v>
      </c>
      <c r="I54" t="s">
        <v>239</v>
      </c>
      <c r="J54" t="s">
        <v>17</v>
      </c>
      <c r="K54" t="s">
        <v>46</v>
      </c>
      <c r="L54" t="str">
        <f t="shared" si="0"/>
        <v>High</v>
      </c>
    </row>
    <row r="55" spans="1:12" x14ac:dyDescent="0.3">
      <c r="A55" t="s">
        <v>240</v>
      </c>
      <c r="B55" t="s">
        <v>241</v>
      </c>
      <c r="C55" t="s">
        <v>242</v>
      </c>
      <c r="D55" t="s">
        <v>27</v>
      </c>
      <c r="E55" t="s">
        <v>55</v>
      </c>
      <c r="F55">
        <v>3</v>
      </c>
      <c r="G55" s="1">
        <v>1061925</v>
      </c>
      <c r="H55" s="1">
        <v>3185775</v>
      </c>
      <c r="I55" t="s">
        <v>243</v>
      </c>
      <c r="J55" t="s">
        <v>23</v>
      </c>
      <c r="K55" t="s">
        <v>29</v>
      </c>
      <c r="L55" t="str">
        <f t="shared" si="0"/>
        <v>High</v>
      </c>
    </row>
    <row r="56" spans="1:12" x14ac:dyDescent="0.3">
      <c r="A56" t="s">
        <v>244</v>
      </c>
      <c r="B56" t="s">
        <v>245</v>
      </c>
      <c r="C56" t="s">
        <v>246</v>
      </c>
      <c r="D56" t="s">
        <v>27</v>
      </c>
      <c r="E56" t="s">
        <v>163</v>
      </c>
      <c r="F56">
        <v>1</v>
      </c>
      <c r="G56" s="1">
        <v>525568</v>
      </c>
      <c r="H56" s="1">
        <v>525568</v>
      </c>
      <c r="I56" t="s">
        <v>16</v>
      </c>
      <c r="J56" t="s">
        <v>17</v>
      </c>
      <c r="K56" t="s">
        <v>29</v>
      </c>
      <c r="L56" t="str">
        <f t="shared" si="0"/>
        <v>Medium</v>
      </c>
    </row>
    <row r="57" spans="1:12" x14ac:dyDescent="0.3">
      <c r="A57" t="s">
        <v>247</v>
      </c>
      <c r="B57" t="s">
        <v>248</v>
      </c>
      <c r="C57" t="s">
        <v>249</v>
      </c>
      <c r="D57" t="s">
        <v>64</v>
      </c>
      <c r="E57" t="s">
        <v>15</v>
      </c>
      <c r="F57">
        <v>5</v>
      </c>
      <c r="G57" s="1">
        <v>1184132</v>
      </c>
      <c r="H57" s="1">
        <v>5920660</v>
      </c>
      <c r="I57" t="s">
        <v>196</v>
      </c>
      <c r="J57" t="s">
        <v>23</v>
      </c>
      <c r="K57" t="s">
        <v>18</v>
      </c>
      <c r="L57" t="str">
        <f t="shared" si="0"/>
        <v>High</v>
      </c>
    </row>
    <row r="58" spans="1:12" x14ac:dyDescent="0.3">
      <c r="A58" t="s">
        <v>250</v>
      </c>
      <c r="B58" t="s">
        <v>251</v>
      </c>
      <c r="C58" t="s">
        <v>252</v>
      </c>
      <c r="D58" t="s">
        <v>50</v>
      </c>
      <c r="E58" t="s">
        <v>69</v>
      </c>
      <c r="F58">
        <v>4</v>
      </c>
      <c r="G58" s="1">
        <v>1069663</v>
      </c>
      <c r="H58" s="1">
        <v>4278652</v>
      </c>
      <c r="I58" t="s">
        <v>56</v>
      </c>
      <c r="J58" t="s">
        <v>23</v>
      </c>
      <c r="K58" t="s">
        <v>18</v>
      </c>
      <c r="L58" t="str">
        <f t="shared" si="0"/>
        <v>High</v>
      </c>
    </row>
    <row r="59" spans="1:12" x14ac:dyDescent="0.3">
      <c r="A59" t="s">
        <v>253</v>
      </c>
      <c r="B59" t="s">
        <v>254</v>
      </c>
      <c r="C59" t="s">
        <v>255</v>
      </c>
      <c r="D59" t="s">
        <v>14</v>
      </c>
      <c r="E59" t="s">
        <v>34</v>
      </c>
      <c r="F59">
        <v>3</v>
      </c>
      <c r="G59" s="1">
        <v>1437729</v>
      </c>
      <c r="H59" s="1">
        <v>4313187</v>
      </c>
      <c r="I59" t="s">
        <v>256</v>
      </c>
      <c r="J59" t="s">
        <v>17</v>
      </c>
      <c r="K59" t="s">
        <v>46</v>
      </c>
      <c r="L59" t="str">
        <f t="shared" si="0"/>
        <v>High</v>
      </c>
    </row>
    <row r="60" spans="1:12" x14ac:dyDescent="0.3">
      <c r="A60" t="s">
        <v>257</v>
      </c>
      <c r="B60" t="s">
        <v>258</v>
      </c>
      <c r="C60" t="s">
        <v>259</v>
      </c>
      <c r="D60" t="s">
        <v>64</v>
      </c>
      <c r="E60" t="s">
        <v>34</v>
      </c>
      <c r="F60">
        <v>3</v>
      </c>
      <c r="G60" s="1">
        <v>939010</v>
      </c>
      <c r="H60" s="1">
        <v>2817030</v>
      </c>
      <c r="I60" t="s">
        <v>260</v>
      </c>
      <c r="J60" t="s">
        <v>17</v>
      </c>
      <c r="K60" t="s">
        <v>18</v>
      </c>
      <c r="L60" t="str">
        <f t="shared" si="0"/>
        <v>High</v>
      </c>
    </row>
    <row r="61" spans="1:12" x14ac:dyDescent="0.3">
      <c r="A61" t="s">
        <v>261</v>
      </c>
      <c r="B61" t="s">
        <v>262</v>
      </c>
      <c r="C61" t="s">
        <v>263</v>
      </c>
      <c r="D61" t="s">
        <v>123</v>
      </c>
      <c r="E61" t="s">
        <v>40</v>
      </c>
      <c r="F61">
        <v>2</v>
      </c>
      <c r="G61" s="1">
        <v>1308849</v>
      </c>
      <c r="H61" s="1">
        <v>2617698</v>
      </c>
      <c r="I61" t="s">
        <v>264</v>
      </c>
      <c r="J61" t="s">
        <v>23</v>
      </c>
      <c r="K61" t="s">
        <v>18</v>
      </c>
      <c r="L61" t="str">
        <f t="shared" si="0"/>
        <v>High</v>
      </c>
    </row>
    <row r="62" spans="1:12" x14ac:dyDescent="0.3">
      <c r="A62" t="s">
        <v>265</v>
      </c>
      <c r="B62" t="s">
        <v>266</v>
      </c>
      <c r="C62" t="s">
        <v>267</v>
      </c>
      <c r="D62" t="s">
        <v>33</v>
      </c>
      <c r="E62" t="s">
        <v>15</v>
      </c>
      <c r="F62">
        <v>3</v>
      </c>
      <c r="G62" s="1">
        <v>1365464</v>
      </c>
      <c r="H62" s="1">
        <v>4096392</v>
      </c>
      <c r="I62" t="s">
        <v>268</v>
      </c>
      <c r="J62" t="s">
        <v>17</v>
      </c>
      <c r="K62" t="s">
        <v>46</v>
      </c>
      <c r="L62" t="str">
        <f t="shared" si="0"/>
        <v>High</v>
      </c>
    </row>
    <row r="63" spans="1:12" x14ac:dyDescent="0.3">
      <c r="A63" t="s">
        <v>269</v>
      </c>
      <c r="B63" t="s">
        <v>270</v>
      </c>
      <c r="C63" t="s">
        <v>271</v>
      </c>
      <c r="D63" t="s">
        <v>64</v>
      </c>
      <c r="E63" t="s">
        <v>74</v>
      </c>
      <c r="F63">
        <v>1</v>
      </c>
      <c r="G63" s="1">
        <v>1193391</v>
      </c>
      <c r="H63" s="1">
        <v>1193391</v>
      </c>
      <c r="I63" t="s">
        <v>272</v>
      </c>
      <c r="J63" t="s">
        <v>17</v>
      </c>
      <c r="K63" t="s">
        <v>46</v>
      </c>
      <c r="L63" t="str">
        <f t="shared" si="0"/>
        <v>Medium</v>
      </c>
    </row>
    <row r="64" spans="1:12" x14ac:dyDescent="0.3">
      <c r="A64" t="s">
        <v>273</v>
      </c>
      <c r="B64" t="s">
        <v>274</v>
      </c>
      <c r="C64" t="s">
        <v>275</v>
      </c>
      <c r="D64" t="s">
        <v>123</v>
      </c>
      <c r="E64" t="s">
        <v>40</v>
      </c>
      <c r="F64">
        <v>2</v>
      </c>
      <c r="G64" s="1">
        <v>497564</v>
      </c>
      <c r="H64" s="1">
        <v>995128</v>
      </c>
      <c r="I64" t="s">
        <v>276</v>
      </c>
      <c r="J64" t="s">
        <v>23</v>
      </c>
      <c r="K64" t="s">
        <v>18</v>
      </c>
      <c r="L64" t="str">
        <f t="shared" si="0"/>
        <v>Medium</v>
      </c>
    </row>
    <row r="65" spans="1:12" x14ac:dyDescent="0.3">
      <c r="A65" t="s">
        <v>277</v>
      </c>
      <c r="B65" t="s">
        <v>278</v>
      </c>
      <c r="C65" t="s">
        <v>279</v>
      </c>
      <c r="D65" t="s">
        <v>14</v>
      </c>
      <c r="E65" t="s">
        <v>55</v>
      </c>
      <c r="F65">
        <v>4</v>
      </c>
      <c r="G65" s="1">
        <v>367773</v>
      </c>
      <c r="H65" s="1">
        <v>1471092</v>
      </c>
      <c r="I65" t="s">
        <v>280</v>
      </c>
      <c r="J65" t="s">
        <v>23</v>
      </c>
      <c r="K65" t="s">
        <v>46</v>
      </c>
      <c r="L65" t="str">
        <f t="shared" si="0"/>
        <v>Medium</v>
      </c>
    </row>
    <row r="66" spans="1:12" x14ac:dyDescent="0.3">
      <c r="A66" t="s">
        <v>281</v>
      </c>
      <c r="B66" t="s">
        <v>282</v>
      </c>
      <c r="C66" t="s">
        <v>283</v>
      </c>
      <c r="D66" t="s">
        <v>33</v>
      </c>
      <c r="E66" t="s">
        <v>69</v>
      </c>
      <c r="F66">
        <v>1</v>
      </c>
      <c r="G66" s="1">
        <v>1323915</v>
      </c>
      <c r="H66" s="1">
        <v>1323915</v>
      </c>
      <c r="I66" t="s">
        <v>284</v>
      </c>
      <c r="J66" t="s">
        <v>23</v>
      </c>
      <c r="K66" t="s">
        <v>46</v>
      </c>
      <c r="L66" t="str">
        <f t="shared" si="0"/>
        <v>Medium</v>
      </c>
    </row>
    <row r="67" spans="1:12" x14ac:dyDescent="0.3">
      <c r="A67" t="s">
        <v>285</v>
      </c>
      <c r="B67" t="s">
        <v>286</v>
      </c>
      <c r="C67" t="s">
        <v>287</v>
      </c>
      <c r="D67" t="s">
        <v>33</v>
      </c>
      <c r="E67" t="s">
        <v>74</v>
      </c>
      <c r="F67">
        <v>4</v>
      </c>
      <c r="G67" s="1">
        <v>1064161</v>
      </c>
      <c r="H67" s="1">
        <v>4256644</v>
      </c>
      <c r="I67" t="s">
        <v>288</v>
      </c>
      <c r="J67" t="s">
        <v>17</v>
      </c>
      <c r="K67" t="s">
        <v>29</v>
      </c>
      <c r="L67" t="str">
        <f t="shared" ref="L67:L130" si="1">IF(H67&gt;2000000,"High",IF(H67&gt;500000,"Medium","Low"))</f>
        <v>High</v>
      </c>
    </row>
    <row r="68" spans="1:12" x14ac:dyDescent="0.3">
      <c r="A68" t="s">
        <v>289</v>
      </c>
      <c r="B68" t="s">
        <v>290</v>
      </c>
      <c r="C68" t="s">
        <v>291</v>
      </c>
      <c r="D68" t="s">
        <v>64</v>
      </c>
      <c r="E68" t="s">
        <v>163</v>
      </c>
      <c r="F68">
        <v>5</v>
      </c>
      <c r="G68" s="1">
        <v>404727</v>
      </c>
      <c r="H68" s="1">
        <v>2023635</v>
      </c>
      <c r="I68" t="s">
        <v>292</v>
      </c>
      <c r="J68" t="s">
        <v>23</v>
      </c>
      <c r="K68" t="s">
        <v>46</v>
      </c>
      <c r="L68" t="str">
        <f t="shared" si="1"/>
        <v>High</v>
      </c>
    </row>
    <row r="69" spans="1:12" x14ac:dyDescent="0.3">
      <c r="A69" t="s">
        <v>293</v>
      </c>
      <c r="B69" t="s">
        <v>294</v>
      </c>
      <c r="C69" t="s">
        <v>295</v>
      </c>
      <c r="D69" t="s">
        <v>27</v>
      </c>
      <c r="E69" t="s">
        <v>40</v>
      </c>
      <c r="F69">
        <v>4</v>
      </c>
      <c r="G69" s="1">
        <v>804108</v>
      </c>
      <c r="H69" s="1">
        <v>3216432</v>
      </c>
      <c r="I69" t="s">
        <v>296</v>
      </c>
      <c r="J69" t="s">
        <v>23</v>
      </c>
      <c r="K69" t="s">
        <v>46</v>
      </c>
      <c r="L69" t="str">
        <f t="shared" si="1"/>
        <v>High</v>
      </c>
    </row>
    <row r="70" spans="1:12" x14ac:dyDescent="0.3">
      <c r="A70" t="s">
        <v>297</v>
      </c>
      <c r="B70" t="s">
        <v>298</v>
      </c>
      <c r="C70" t="s">
        <v>299</v>
      </c>
      <c r="D70" t="s">
        <v>64</v>
      </c>
      <c r="E70" t="s">
        <v>40</v>
      </c>
      <c r="F70">
        <v>1</v>
      </c>
      <c r="G70" s="1">
        <v>1142636</v>
      </c>
      <c r="H70" s="1">
        <v>1142636</v>
      </c>
      <c r="I70" t="s">
        <v>300</v>
      </c>
      <c r="J70" t="s">
        <v>23</v>
      </c>
      <c r="K70" t="s">
        <v>29</v>
      </c>
      <c r="L70" t="str">
        <f t="shared" si="1"/>
        <v>Medium</v>
      </c>
    </row>
    <row r="71" spans="1:12" x14ac:dyDescent="0.3">
      <c r="A71" t="s">
        <v>301</v>
      </c>
      <c r="B71" t="s">
        <v>302</v>
      </c>
      <c r="C71" t="s">
        <v>303</v>
      </c>
      <c r="D71" t="s">
        <v>50</v>
      </c>
      <c r="E71" t="s">
        <v>15</v>
      </c>
      <c r="F71">
        <v>5</v>
      </c>
      <c r="G71" s="1">
        <v>955969</v>
      </c>
      <c r="H71" s="1">
        <v>4779845</v>
      </c>
      <c r="I71" t="s">
        <v>304</v>
      </c>
      <c r="J71" t="s">
        <v>17</v>
      </c>
      <c r="K71" t="s">
        <v>46</v>
      </c>
      <c r="L71" t="str">
        <f t="shared" si="1"/>
        <v>High</v>
      </c>
    </row>
    <row r="72" spans="1:12" x14ac:dyDescent="0.3">
      <c r="A72" t="s">
        <v>305</v>
      </c>
      <c r="B72" t="s">
        <v>306</v>
      </c>
      <c r="C72" t="s">
        <v>307</v>
      </c>
      <c r="D72" t="s">
        <v>64</v>
      </c>
      <c r="E72" t="s">
        <v>15</v>
      </c>
      <c r="F72">
        <v>1</v>
      </c>
      <c r="G72" s="1">
        <v>1470242</v>
      </c>
      <c r="H72" s="1">
        <v>1470242</v>
      </c>
      <c r="I72" t="s">
        <v>308</v>
      </c>
      <c r="J72" t="s">
        <v>23</v>
      </c>
      <c r="K72" t="s">
        <v>29</v>
      </c>
      <c r="L72" t="str">
        <f t="shared" si="1"/>
        <v>Medium</v>
      </c>
    </row>
    <row r="73" spans="1:12" x14ac:dyDescent="0.3">
      <c r="A73" t="s">
        <v>309</v>
      </c>
      <c r="B73" t="s">
        <v>310</v>
      </c>
      <c r="C73" t="s">
        <v>311</v>
      </c>
      <c r="D73" t="s">
        <v>50</v>
      </c>
      <c r="E73" t="s">
        <v>34</v>
      </c>
      <c r="F73">
        <v>1</v>
      </c>
      <c r="G73" s="1">
        <v>1084363</v>
      </c>
      <c r="H73" s="1">
        <v>1084363</v>
      </c>
      <c r="I73" t="s">
        <v>312</v>
      </c>
      <c r="J73" t="s">
        <v>23</v>
      </c>
      <c r="K73" t="s">
        <v>46</v>
      </c>
      <c r="L73" t="str">
        <f t="shared" si="1"/>
        <v>Medium</v>
      </c>
    </row>
    <row r="74" spans="1:12" x14ac:dyDescent="0.3">
      <c r="A74" t="s">
        <v>313</v>
      </c>
      <c r="B74" t="s">
        <v>314</v>
      </c>
      <c r="C74" t="s">
        <v>315</v>
      </c>
      <c r="D74" t="s">
        <v>27</v>
      </c>
      <c r="E74" t="s">
        <v>34</v>
      </c>
      <c r="F74">
        <v>3</v>
      </c>
      <c r="G74" s="1">
        <v>716096</v>
      </c>
      <c r="H74" s="1">
        <v>2148288</v>
      </c>
      <c r="I74" t="s">
        <v>316</v>
      </c>
      <c r="J74" t="s">
        <v>23</v>
      </c>
      <c r="K74" t="s">
        <v>18</v>
      </c>
      <c r="L74" t="str">
        <f t="shared" si="1"/>
        <v>High</v>
      </c>
    </row>
    <row r="75" spans="1:12" x14ac:dyDescent="0.3">
      <c r="A75" t="s">
        <v>317</v>
      </c>
      <c r="B75" t="s">
        <v>318</v>
      </c>
      <c r="C75" t="s">
        <v>319</v>
      </c>
      <c r="D75" t="s">
        <v>64</v>
      </c>
      <c r="E75" t="s">
        <v>40</v>
      </c>
      <c r="F75">
        <v>4</v>
      </c>
      <c r="G75" s="1">
        <v>1478618</v>
      </c>
      <c r="H75" s="1">
        <v>5914472</v>
      </c>
      <c r="I75" t="s">
        <v>320</v>
      </c>
      <c r="J75" t="s">
        <v>23</v>
      </c>
      <c r="K75" t="s">
        <v>29</v>
      </c>
      <c r="L75" t="str">
        <f t="shared" si="1"/>
        <v>High</v>
      </c>
    </row>
    <row r="76" spans="1:12" x14ac:dyDescent="0.3">
      <c r="A76" t="s">
        <v>321</v>
      </c>
      <c r="B76" t="s">
        <v>322</v>
      </c>
      <c r="C76" t="s">
        <v>323</v>
      </c>
      <c r="D76" t="s">
        <v>64</v>
      </c>
      <c r="E76" t="s">
        <v>40</v>
      </c>
      <c r="F76">
        <v>5</v>
      </c>
      <c r="G76" s="1">
        <v>699433</v>
      </c>
      <c r="H76" s="1">
        <v>3497165</v>
      </c>
      <c r="I76" t="s">
        <v>324</v>
      </c>
      <c r="J76" t="s">
        <v>17</v>
      </c>
      <c r="K76" t="s">
        <v>46</v>
      </c>
      <c r="L76" t="str">
        <f t="shared" si="1"/>
        <v>High</v>
      </c>
    </row>
    <row r="77" spans="1:12" x14ac:dyDescent="0.3">
      <c r="A77" t="s">
        <v>325</v>
      </c>
      <c r="B77" t="s">
        <v>326</v>
      </c>
      <c r="C77" t="s">
        <v>327</v>
      </c>
      <c r="D77" t="s">
        <v>50</v>
      </c>
      <c r="E77" t="s">
        <v>15</v>
      </c>
      <c r="F77">
        <v>5</v>
      </c>
      <c r="G77" s="1">
        <v>229733</v>
      </c>
      <c r="H77" s="1">
        <v>1148665</v>
      </c>
      <c r="I77" t="s">
        <v>224</v>
      </c>
      <c r="J77" t="s">
        <v>17</v>
      </c>
      <c r="K77" t="s">
        <v>18</v>
      </c>
      <c r="L77" t="str">
        <f t="shared" si="1"/>
        <v>Medium</v>
      </c>
    </row>
    <row r="78" spans="1:12" x14ac:dyDescent="0.3">
      <c r="A78" t="s">
        <v>328</v>
      </c>
      <c r="B78" t="s">
        <v>329</v>
      </c>
      <c r="C78" t="s">
        <v>330</v>
      </c>
      <c r="D78" t="s">
        <v>39</v>
      </c>
      <c r="E78" t="s">
        <v>15</v>
      </c>
      <c r="F78">
        <v>4</v>
      </c>
      <c r="G78" s="1">
        <v>974542</v>
      </c>
      <c r="H78" s="1">
        <v>3898168</v>
      </c>
      <c r="I78" t="s">
        <v>331</v>
      </c>
      <c r="J78" t="s">
        <v>17</v>
      </c>
      <c r="K78" t="s">
        <v>46</v>
      </c>
      <c r="L78" t="str">
        <f t="shared" si="1"/>
        <v>High</v>
      </c>
    </row>
    <row r="79" spans="1:12" x14ac:dyDescent="0.3">
      <c r="A79" t="s">
        <v>332</v>
      </c>
      <c r="B79" t="s">
        <v>333</v>
      </c>
      <c r="C79" t="s">
        <v>334</v>
      </c>
      <c r="D79" t="s">
        <v>27</v>
      </c>
      <c r="E79" t="s">
        <v>74</v>
      </c>
      <c r="F79">
        <v>3</v>
      </c>
      <c r="G79" s="1">
        <v>840725</v>
      </c>
      <c r="H79" s="1">
        <v>2522175</v>
      </c>
      <c r="I79" t="s">
        <v>335</v>
      </c>
      <c r="J79" t="s">
        <v>17</v>
      </c>
      <c r="K79" t="s">
        <v>18</v>
      </c>
      <c r="L79" t="str">
        <f t="shared" si="1"/>
        <v>High</v>
      </c>
    </row>
    <row r="80" spans="1:12" x14ac:dyDescent="0.3">
      <c r="A80" t="s">
        <v>336</v>
      </c>
      <c r="B80" t="s">
        <v>337</v>
      </c>
      <c r="C80" t="s">
        <v>338</v>
      </c>
      <c r="D80" t="s">
        <v>123</v>
      </c>
      <c r="E80" t="s">
        <v>163</v>
      </c>
      <c r="F80">
        <v>3</v>
      </c>
      <c r="G80" s="1">
        <v>632607</v>
      </c>
      <c r="H80" s="1">
        <v>1897821</v>
      </c>
      <c r="I80" t="s">
        <v>339</v>
      </c>
      <c r="J80" t="s">
        <v>23</v>
      </c>
      <c r="K80" t="s">
        <v>18</v>
      </c>
      <c r="L80" t="str">
        <f t="shared" si="1"/>
        <v>Medium</v>
      </c>
    </row>
    <row r="81" spans="1:12" x14ac:dyDescent="0.3">
      <c r="A81" t="s">
        <v>340</v>
      </c>
      <c r="B81" t="s">
        <v>341</v>
      </c>
      <c r="C81" t="s">
        <v>342</v>
      </c>
      <c r="D81" t="s">
        <v>14</v>
      </c>
      <c r="E81" t="s">
        <v>163</v>
      </c>
      <c r="F81">
        <v>3</v>
      </c>
      <c r="G81" s="1">
        <v>1431667</v>
      </c>
      <c r="H81" s="1">
        <v>4295001</v>
      </c>
      <c r="I81" t="s">
        <v>343</v>
      </c>
      <c r="J81" t="s">
        <v>17</v>
      </c>
      <c r="K81" t="s">
        <v>46</v>
      </c>
      <c r="L81" t="str">
        <f t="shared" si="1"/>
        <v>High</v>
      </c>
    </row>
    <row r="82" spans="1:12" x14ac:dyDescent="0.3">
      <c r="A82" t="s">
        <v>344</v>
      </c>
      <c r="B82" t="s">
        <v>345</v>
      </c>
      <c r="C82" t="s">
        <v>346</v>
      </c>
      <c r="D82" t="s">
        <v>64</v>
      </c>
      <c r="E82" t="s">
        <v>69</v>
      </c>
      <c r="F82">
        <v>2</v>
      </c>
      <c r="G82" s="1">
        <v>671568</v>
      </c>
      <c r="H82" s="1">
        <v>1343136</v>
      </c>
      <c r="I82" t="s">
        <v>347</v>
      </c>
      <c r="J82" t="s">
        <v>17</v>
      </c>
      <c r="K82" t="s">
        <v>18</v>
      </c>
      <c r="L82" t="str">
        <f t="shared" si="1"/>
        <v>Medium</v>
      </c>
    </row>
    <row r="83" spans="1:12" x14ac:dyDescent="0.3">
      <c r="A83" t="s">
        <v>348</v>
      </c>
      <c r="B83" t="s">
        <v>349</v>
      </c>
      <c r="C83" t="s">
        <v>350</v>
      </c>
      <c r="D83" t="s">
        <v>27</v>
      </c>
      <c r="E83" t="s">
        <v>163</v>
      </c>
      <c r="F83">
        <v>1</v>
      </c>
      <c r="G83" s="1">
        <v>1309936</v>
      </c>
      <c r="H83" s="1">
        <v>1309936</v>
      </c>
      <c r="I83" t="s">
        <v>351</v>
      </c>
      <c r="J83" t="s">
        <v>17</v>
      </c>
      <c r="K83" t="s">
        <v>46</v>
      </c>
      <c r="L83" t="str">
        <f t="shared" si="1"/>
        <v>Medium</v>
      </c>
    </row>
    <row r="84" spans="1:12" x14ac:dyDescent="0.3">
      <c r="A84" t="s">
        <v>352</v>
      </c>
      <c r="B84" t="s">
        <v>353</v>
      </c>
      <c r="C84" t="s">
        <v>354</v>
      </c>
      <c r="D84" t="s">
        <v>64</v>
      </c>
      <c r="E84" t="s">
        <v>69</v>
      </c>
      <c r="F84">
        <v>1</v>
      </c>
      <c r="G84" s="1">
        <v>364119</v>
      </c>
      <c r="H84" s="1">
        <v>364119</v>
      </c>
      <c r="I84" t="s">
        <v>355</v>
      </c>
      <c r="J84" t="s">
        <v>23</v>
      </c>
      <c r="K84" t="s">
        <v>46</v>
      </c>
      <c r="L84" t="str">
        <f t="shared" si="1"/>
        <v>Low</v>
      </c>
    </row>
    <row r="85" spans="1:12" x14ac:dyDescent="0.3">
      <c r="A85" t="s">
        <v>356</v>
      </c>
      <c r="B85" t="s">
        <v>357</v>
      </c>
      <c r="C85" t="s">
        <v>358</v>
      </c>
      <c r="D85" t="s">
        <v>39</v>
      </c>
      <c r="E85" t="s">
        <v>15</v>
      </c>
      <c r="F85">
        <v>2</v>
      </c>
      <c r="G85" s="1">
        <v>522088</v>
      </c>
      <c r="H85" s="1">
        <v>1044176</v>
      </c>
      <c r="I85" t="s">
        <v>359</v>
      </c>
      <c r="J85" t="s">
        <v>17</v>
      </c>
      <c r="K85" t="s">
        <v>18</v>
      </c>
      <c r="L85" t="str">
        <f t="shared" si="1"/>
        <v>Medium</v>
      </c>
    </row>
    <row r="86" spans="1:12" x14ac:dyDescent="0.3">
      <c r="A86" t="s">
        <v>360</v>
      </c>
      <c r="B86" t="s">
        <v>361</v>
      </c>
      <c r="C86" t="s">
        <v>362</v>
      </c>
      <c r="D86" t="s">
        <v>50</v>
      </c>
      <c r="E86" t="s">
        <v>34</v>
      </c>
      <c r="F86">
        <v>1</v>
      </c>
      <c r="G86" s="1">
        <v>422446</v>
      </c>
      <c r="H86" s="1">
        <v>422446</v>
      </c>
      <c r="I86" t="s">
        <v>363</v>
      </c>
      <c r="J86" t="s">
        <v>17</v>
      </c>
      <c r="K86" t="s">
        <v>46</v>
      </c>
      <c r="L86" t="str">
        <f t="shared" si="1"/>
        <v>Low</v>
      </c>
    </row>
    <row r="87" spans="1:12" x14ac:dyDescent="0.3">
      <c r="A87" t="s">
        <v>364</v>
      </c>
      <c r="B87" t="s">
        <v>365</v>
      </c>
      <c r="C87" t="s">
        <v>366</v>
      </c>
      <c r="D87" t="s">
        <v>50</v>
      </c>
      <c r="E87" t="s">
        <v>69</v>
      </c>
      <c r="F87">
        <v>1</v>
      </c>
      <c r="G87" s="1">
        <v>1396083</v>
      </c>
      <c r="H87" s="1">
        <v>1396083</v>
      </c>
      <c r="I87" t="s">
        <v>343</v>
      </c>
      <c r="J87" t="s">
        <v>17</v>
      </c>
      <c r="K87" t="s">
        <v>46</v>
      </c>
      <c r="L87" t="str">
        <f t="shared" si="1"/>
        <v>Medium</v>
      </c>
    </row>
    <row r="88" spans="1:12" x14ac:dyDescent="0.3">
      <c r="A88" t="s">
        <v>367</v>
      </c>
      <c r="B88" t="s">
        <v>368</v>
      </c>
      <c r="C88" t="s">
        <v>369</v>
      </c>
      <c r="D88" t="s">
        <v>39</v>
      </c>
      <c r="E88" t="s">
        <v>40</v>
      </c>
      <c r="F88">
        <v>1</v>
      </c>
      <c r="G88" s="1">
        <v>1441788</v>
      </c>
      <c r="H88" s="1">
        <v>1441788</v>
      </c>
      <c r="I88" t="s">
        <v>370</v>
      </c>
      <c r="J88" t="s">
        <v>17</v>
      </c>
      <c r="K88" t="s">
        <v>18</v>
      </c>
      <c r="L88" t="str">
        <f t="shared" si="1"/>
        <v>Medium</v>
      </c>
    </row>
    <row r="89" spans="1:12" x14ac:dyDescent="0.3">
      <c r="A89" t="s">
        <v>371</v>
      </c>
      <c r="B89" t="s">
        <v>372</v>
      </c>
      <c r="C89" t="s">
        <v>373</v>
      </c>
      <c r="D89" t="s">
        <v>50</v>
      </c>
      <c r="E89" t="s">
        <v>40</v>
      </c>
      <c r="F89">
        <v>3</v>
      </c>
      <c r="G89" s="1">
        <v>989404</v>
      </c>
      <c r="H89" s="1">
        <v>2968212</v>
      </c>
      <c r="I89" t="s">
        <v>374</v>
      </c>
      <c r="J89" t="s">
        <v>23</v>
      </c>
      <c r="K89" t="s">
        <v>18</v>
      </c>
      <c r="L89" t="str">
        <f t="shared" si="1"/>
        <v>High</v>
      </c>
    </row>
    <row r="90" spans="1:12" x14ac:dyDescent="0.3">
      <c r="A90" t="s">
        <v>375</v>
      </c>
      <c r="B90" t="s">
        <v>376</v>
      </c>
      <c r="C90" t="s">
        <v>377</v>
      </c>
      <c r="D90" t="s">
        <v>64</v>
      </c>
      <c r="E90" t="s">
        <v>163</v>
      </c>
      <c r="F90">
        <v>3</v>
      </c>
      <c r="G90" s="1">
        <v>1060352</v>
      </c>
      <c r="H90" s="1">
        <v>3181056</v>
      </c>
      <c r="I90" t="s">
        <v>378</v>
      </c>
      <c r="J90" t="s">
        <v>23</v>
      </c>
      <c r="K90" t="s">
        <v>46</v>
      </c>
      <c r="L90" t="str">
        <f t="shared" si="1"/>
        <v>High</v>
      </c>
    </row>
    <row r="91" spans="1:12" x14ac:dyDescent="0.3">
      <c r="A91" t="s">
        <v>379</v>
      </c>
      <c r="B91" t="s">
        <v>380</v>
      </c>
      <c r="C91" t="s">
        <v>381</v>
      </c>
      <c r="D91" t="s">
        <v>123</v>
      </c>
      <c r="E91" t="s">
        <v>15</v>
      </c>
      <c r="F91">
        <v>4</v>
      </c>
      <c r="G91" s="1">
        <v>923155</v>
      </c>
      <c r="H91" s="1">
        <v>3692620</v>
      </c>
      <c r="I91" t="s">
        <v>382</v>
      </c>
      <c r="J91" t="s">
        <v>17</v>
      </c>
      <c r="K91" t="s">
        <v>29</v>
      </c>
      <c r="L91" t="str">
        <f t="shared" si="1"/>
        <v>High</v>
      </c>
    </row>
    <row r="92" spans="1:12" x14ac:dyDescent="0.3">
      <c r="A92" t="s">
        <v>383</v>
      </c>
      <c r="B92" t="s">
        <v>384</v>
      </c>
      <c r="C92" t="s">
        <v>385</v>
      </c>
      <c r="D92" t="s">
        <v>64</v>
      </c>
      <c r="E92" t="s">
        <v>55</v>
      </c>
      <c r="F92">
        <v>3</v>
      </c>
      <c r="G92" s="1">
        <v>251413</v>
      </c>
      <c r="H92" s="1">
        <v>754239</v>
      </c>
      <c r="I92" t="s">
        <v>386</v>
      </c>
      <c r="J92" t="s">
        <v>17</v>
      </c>
      <c r="K92" t="s">
        <v>46</v>
      </c>
      <c r="L92" t="str">
        <f t="shared" si="1"/>
        <v>Medium</v>
      </c>
    </row>
    <row r="93" spans="1:12" x14ac:dyDescent="0.3">
      <c r="A93" t="s">
        <v>387</v>
      </c>
      <c r="B93" t="s">
        <v>388</v>
      </c>
      <c r="C93" t="s">
        <v>389</v>
      </c>
      <c r="D93" t="s">
        <v>33</v>
      </c>
      <c r="E93" t="s">
        <v>163</v>
      </c>
      <c r="F93">
        <v>5</v>
      </c>
      <c r="G93" s="1">
        <v>410419</v>
      </c>
      <c r="H93" s="1">
        <v>2052095</v>
      </c>
      <c r="I93" t="s">
        <v>390</v>
      </c>
      <c r="J93" t="s">
        <v>17</v>
      </c>
      <c r="K93" t="s">
        <v>18</v>
      </c>
      <c r="L93" t="str">
        <f t="shared" si="1"/>
        <v>High</v>
      </c>
    </row>
    <row r="94" spans="1:12" x14ac:dyDescent="0.3">
      <c r="A94" t="s">
        <v>391</v>
      </c>
      <c r="B94" t="s">
        <v>392</v>
      </c>
      <c r="C94" t="s">
        <v>393</v>
      </c>
      <c r="D94" t="s">
        <v>14</v>
      </c>
      <c r="E94" t="s">
        <v>15</v>
      </c>
      <c r="F94">
        <v>5</v>
      </c>
      <c r="G94" s="1">
        <v>470924</v>
      </c>
      <c r="H94" s="1">
        <v>2354620</v>
      </c>
      <c r="I94" t="s">
        <v>394</v>
      </c>
      <c r="J94" t="s">
        <v>23</v>
      </c>
      <c r="K94" t="s">
        <v>18</v>
      </c>
      <c r="L94" t="str">
        <f t="shared" si="1"/>
        <v>High</v>
      </c>
    </row>
    <row r="95" spans="1:12" x14ac:dyDescent="0.3">
      <c r="A95" t="s">
        <v>395</v>
      </c>
      <c r="B95" t="s">
        <v>396</v>
      </c>
      <c r="C95" t="s">
        <v>397</v>
      </c>
      <c r="D95" t="s">
        <v>64</v>
      </c>
      <c r="E95" t="s">
        <v>74</v>
      </c>
      <c r="F95">
        <v>5</v>
      </c>
      <c r="G95" s="1">
        <v>1408725</v>
      </c>
      <c r="H95" s="1">
        <v>7043625</v>
      </c>
      <c r="I95" t="s">
        <v>398</v>
      </c>
      <c r="J95" t="s">
        <v>23</v>
      </c>
      <c r="K95" t="s">
        <v>18</v>
      </c>
      <c r="L95" t="str">
        <f t="shared" si="1"/>
        <v>High</v>
      </c>
    </row>
    <row r="96" spans="1:12" x14ac:dyDescent="0.3">
      <c r="A96" t="s">
        <v>399</v>
      </c>
      <c r="B96" t="s">
        <v>400</v>
      </c>
      <c r="C96" t="s">
        <v>401</v>
      </c>
      <c r="D96" t="s">
        <v>33</v>
      </c>
      <c r="E96" t="s">
        <v>40</v>
      </c>
      <c r="F96">
        <v>5</v>
      </c>
      <c r="G96" s="1">
        <v>175770</v>
      </c>
      <c r="H96" s="1">
        <v>878850</v>
      </c>
      <c r="I96" t="s">
        <v>402</v>
      </c>
      <c r="J96" t="s">
        <v>23</v>
      </c>
      <c r="K96" t="s">
        <v>29</v>
      </c>
      <c r="L96" t="str">
        <f t="shared" si="1"/>
        <v>Medium</v>
      </c>
    </row>
    <row r="97" spans="1:12" x14ac:dyDescent="0.3">
      <c r="A97" t="s">
        <v>403</v>
      </c>
      <c r="B97" t="s">
        <v>404</v>
      </c>
      <c r="C97" t="s">
        <v>405</v>
      </c>
      <c r="D97" t="s">
        <v>27</v>
      </c>
      <c r="E97" t="s">
        <v>55</v>
      </c>
      <c r="F97">
        <v>5</v>
      </c>
      <c r="G97" s="1">
        <v>323754</v>
      </c>
      <c r="H97" s="1">
        <v>1618770</v>
      </c>
      <c r="I97" t="s">
        <v>128</v>
      </c>
      <c r="J97" t="s">
        <v>23</v>
      </c>
      <c r="K97" t="s">
        <v>46</v>
      </c>
      <c r="L97" t="str">
        <f t="shared" si="1"/>
        <v>Medium</v>
      </c>
    </row>
    <row r="98" spans="1:12" x14ac:dyDescent="0.3">
      <c r="A98" t="s">
        <v>406</v>
      </c>
      <c r="B98" t="s">
        <v>407</v>
      </c>
      <c r="C98" t="s">
        <v>408</v>
      </c>
      <c r="D98" t="s">
        <v>123</v>
      </c>
      <c r="E98" t="s">
        <v>55</v>
      </c>
      <c r="F98">
        <v>5</v>
      </c>
      <c r="G98" s="1">
        <v>542842</v>
      </c>
      <c r="H98" s="1">
        <v>2714210</v>
      </c>
      <c r="I98" t="s">
        <v>409</v>
      </c>
      <c r="J98" t="s">
        <v>17</v>
      </c>
      <c r="K98" t="s">
        <v>18</v>
      </c>
      <c r="L98" t="str">
        <f t="shared" si="1"/>
        <v>High</v>
      </c>
    </row>
    <row r="99" spans="1:12" x14ac:dyDescent="0.3">
      <c r="A99" t="s">
        <v>410</v>
      </c>
      <c r="B99" t="s">
        <v>411</v>
      </c>
      <c r="C99" t="s">
        <v>412</v>
      </c>
      <c r="D99" t="s">
        <v>27</v>
      </c>
      <c r="E99" t="s">
        <v>74</v>
      </c>
      <c r="F99">
        <v>2</v>
      </c>
      <c r="G99" s="1">
        <v>1249164</v>
      </c>
      <c r="H99" s="1">
        <v>2498328</v>
      </c>
      <c r="I99" t="s">
        <v>413</v>
      </c>
      <c r="J99" t="s">
        <v>17</v>
      </c>
      <c r="K99" t="s">
        <v>46</v>
      </c>
      <c r="L99" t="str">
        <f t="shared" si="1"/>
        <v>High</v>
      </c>
    </row>
    <row r="100" spans="1:12" x14ac:dyDescent="0.3">
      <c r="A100" t="s">
        <v>414</v>
      </c>
      <c r="B100" t="s">
        <v>415</v>
      </c>
      <c r="C100" t="s">
        <v>416</v>
      </c>
      <c r="D100" t="s">
        <v>123</v>
      </c>
      <c r="E100" t="s">
        <v>15</v>
      </c>
      <c r="F100">
        <v>1</v>
      </c>
      <c r="G100" s="1">
        <v>775450</v>
      </c>
      <c r="H100" s="1">
        <v>775450</v>
      </c>
      <c r="I100" t="s">
        <v>417</v>
      </c>
      <c r="J100" t="s">
        <v>17</v>
      </c>
      <c r="K100" t="s">
        <v>29</v>
      </c>
      <c r="L100" t="str">
        <f t="shared" si="1"/>
        <v>Medium</v>
      </c>
    </row>
    <row r="101" spans="1:12" x14ac:dyDescent="0.3">
      <c r="A101" t="s">
        <v>418</v>
      </c>
      <c r="B101" t="s">
        <v>419</v>
      </c>
      <c r="C101" t="s">
        <v>420</v>
      </c>
      <c r="D101" t="s">
        <v>33</v>
      </c>
      <c r="E101" t="s">
        <v>34</v>
      </c>
      <c r="F101">
        <v>3</v>
      </c>
      <c r="G101" s="1">
        <v>285830</v>
      </c>
      <c r="H101" s="1">
        <v>857490</v>
      </c>
      <c r="I101" t="s">
        <v>335</v>
      </c>
      <c r="J101" t="s">
        <v>17</v>
      </c>
      <c r="K101" t="s">
        <v>18</v>
      </c>
      <c r="L101" t="str">
        <f t="shared" si="1"/>
        <v>Medium</v>
      </c>
    </row>
    <row r="102" spans="1:12" x14ac:dyDescent="0.3">
      <c r="A102" t="s">
        <v>421</v>
      </c>
      <c r="B102" t="s">
        <v>422</v>
      </c>
      <c r="C102" t="s">
        <v>423</v>
      </c>
      <c r="D102" t="s">
        <v>14</v>
      </c>
      <c r="E102" t="s">
        <v>163</v>
      </c>
      <c r="F102">
        <v>3</v>
      </c>
      <c r="G102" s="1">
        <v>624563</v>
      </c>
      <c r="H102" s="1">
        <v>1873689</v>
      </c>
      <c r="I102" t="s">
        <v>424</v>
      </c>
      <c r="J102" t="s">
        <v>23</v>
      </c>
      <c r="K102" t="s">
        <v>29</v>
      </c>
      <c r="L102" t="str">
        <f t="shared" si="1"/>
        <v>Medium</v>
      </c>
    </row>
    <row r="103" spans="1:12" x14ac:dyDescent="0.3">
      <c r="A103" t="s">
        <v>425</v>
      </c>
      <c r="B103" t="s">
        <v>426</v>
      </c>
      <c r="C103" t="s">
        <v>427</v>
      </c>
      <c r="D103" t="s">
        <v>27</v>
      </c>
      <c r="E103" t="s">
        <v>15</v>
      </c>
      <c r="F103">
        <v>3</v>
      </c>
      <c r="G103" s="1">
        <v>74925</v>
      </c>
      <c r="H103" s="1">
        <v>224775</v>
      </c>
      <c r="I103" t="s">
        <v>428</v>
      </c>
      <c r="J103" t="s">
        <v>17</v>
      </c>
      <c r="K103" t="s">
        <v>18</v>
      </c>
      <c r="L103" t="str">
        <f t="shared" si="1"/>
        <v>Low</v>
      </c>
    </row>
    <row r="104" spans="1:12" x14ac:dyDescent="0.3">
      <c r="A104" t="s">
        <v>429</v>
      </c>
      <c r="B104" t="s">
        <v>430</v>
      </c>
      <c r="C104" t="s">
        <v>431</v>
      </c>
      <c r="D104" t="s">
        <v>14</v>
      </c>
      <c r="E104" t="s">
        <v>34</v>
      </c>
      <c r="F104">
        <v>3</v>
      </c>
      <c r="G104" s="1">
        <v>474415</v>
      </c>
      <c r="H104" s="1">
        <v>1423245</v>
      </c>
      <c r="I104" t="s">
        <v>224</v>
      </c>
      <c r="J104" t="s">
        <v>23</v>
      </c>
      <c r="K104" t="s">
        <v>29</v>
      </c>
      <c r="L104" t="str">
        <f t="shared" si="1"/>
        <v>Medium</v>
      </c>
    </row>
    <row r="105" spans="1:12" x14ac:dyDescent="0.3">
      <c r="A105" t="s">
        <v>432</v>
      </c>
      <c r="B105" t="s">
        <v>433</v>
      </c>
      <c r="C105" t="s">
        <v>434</v>
      </c>
      <c r="D105" t="s">
        <v>39</v>
      </c>
      <c r="E105" t="s">
        <v>40</v>
      </c>
      <c r="F105">
        <v>2</v>
      </c>
      <c r="G105" s="1">
        <v>304333</v>
      </c>
      <c r="H105" s="1">
        <v>608666</v>
      </c>
      <c r="I105" t="s">
        <v>435</v>
      </c>
      <c r="J105" t="s">
        <v>23</v>
      </c>
      <c r="K105" t="s">
        <v>46</v>
      </c>
      <c r="L105" t="str">
        <f t="shared" si="1"/>
        <v>Medium</v>
      </c>
    </row>
    <row r="106" spans="1:12" x14ac:dyDescent="0.3">
      <c r="A106" t="s">
        <v>436</v>
      </c>
      <c r="B106" t="s">
        <v>437</v>
      </c>
      <c r="C106" t="s">
        <v>438</v>
      </c>
      <c r="D106" t="s">
        <v>27</v>
      </c>
      <c r="E106" t="s">
        <v>74</v>
      </c>
      <c r="F106">
        <v>4</v>
      </c>
      <c r="G106" s="1">
        <v>226903</v>
      </c>
      <c r="H106" s="1">
        <v>907612</v>
      </c>
      <c r="I106" t="s">
        <v>439</v>
      </c>
      <c r="J106" t="s">
        <v>23</v>
      </c>
      <c r="K106" t="s">
        <v>18</v>
      </c>
      <c r="L106" t="str">
        <f t="shared" si="1"/>
        <v>Medium</v>
      </c>
    </row>
    <row r="107" spans="1:12" x14ac:dyDescent="0.3">
      <c r="A107" t="s">
        <v>440</v>
      </c>
      <c r="B107" t="s">
        <v>441</v>
      </c>
      <c r="C107" t="s">
        <v>442</v>
      </c>
      <c r="D107" t="s">
        <v>50</v>
      </c>
      <c r="E107" t="s">
        <v>55</v>
      </c>
      <c r="F107">
        <v>1</v>
      </c>
      <c r="G107" s="1">
        <v>595945</v>
      </c>
      <c r="H107" s="1">
        <v>595945</v>
      </c>
      <c r="I107" t="s">
        <v>443</v>
      </c>
      <c r="J107" t="s">
        <v>23</v>
      </c>
      <c r="K107" t="s">
        <v>29</v>
      </c>
      <c r="L107" t="str">
        <f t="shared" si="1"/>
        <v>Medium</v>
      </c>
    </row>
    <row r="108" spans="1:12" x14ac:dyDescent="0.3">
      <c r="A108" t="s">
        <v>444</v>
      </c>
      <c r="B108" t="s">
        <v>445</v>
      </c>
      <c r="C108" t="s">
        <v>446</v>
      </c>
      <c r="D108" t="s">
        <v>27</v>
      </c>
      <c r="E108" t="s">
        <v>69</v>
      </c>
      <c r="F108">
        <v>5</v>
      </c>
      <c r="G108" s="1">
        <v>297727</v>
      </c>
      <c r="H108" s="1">
        <v>1488635</v>
      </c>
      <c r="I108" t="s">
        <v>335</v>
      </c>
      <c r="J108" t="s">
        <v>23</v>
      </c>
      <c r="K108" t="s">
        <v>29</v>
      </c>
      <c r="L108" t="str">
        <f t="shared" si="1"/>
        <v>Medium</v>
      </c>
    </row>
    <row r="109" spans="1:12" x14ac:dyDescent="0.3">
      <c r="A109" t="s">
        <v>447</v>
      </c>
      <c r="B109" t="s">
        <v>448</v>
      </c>
      <c r="C109" t="s">
        <v>449</v>
      </c>
      <c r="D109" t="s">
        <v>27</v>
      </c>
      <c r="E109" t="s">
        <v>163</v>
      </c>
      <c r="F109">
        <v>2</v>
      </c>
      <c r="G109" s="1">
        <v>929746</v>
      </c>
      <c r="H109" s="1">
        <v>1859492</v>
      </c>
      <c r="I109" t="s">
        <v>450</v>
      </c>
      <c r="J109" t="s">
        <v>23</v>
      </c>
      <c r="K109" t="s">
        <v>46</v>
      </c>
      <c r="L109" t="str">
        <f t="shared" si="1"/>
        <v>Medium</v>
      </c>
    </row>
    <row r="110" spans="1:12" x14ac:dyDescent="0.3">
      <c r="A110" t="s">
        <v>451</v>
      </c>
      <c r="B110" t="s">
        <v>452</v>
      </c>
      <c r="C110" t="s">
        <v>453</v>
      </c>
      <c r="D110" t="s">
        <v>123</v>
      </c>
      <c r="E110" t="s">
        <v>163</v>
      </c>
      <c r="F110">
        <v>1</v>
      </c>
      <c r="G110" s="1">
        <v>164216</v>
      </c>
      <c r="H110" s="1">
        <v>164216</v>
      </c>
      <c r="I110" t="s">
        <v>159</v>
      </c>
      <c r="J110" t="s">
        <v>17</v>
      </c>
      <c r="K110" t="s">
        <v>46</v>
      </c>
      <c r="L110" t="str">
        <f t="shared" si="1"/>
        <v>Low</v>
      </c>
    </row>
    <row r="111" spans="1:12" x14ac:dyDescent="0.3">
      <c r="A111" t="s">
        <v>454</v>
      </c>
      <c r="B111" t="s">
        <v>455</v>
      </c>
      <c r="C111" t="s">
        <v>456</v>
      </c>
      <c r="D111" t="s">
        <v>39</v>
      </c>
      <c r="E111" t="s">
        <v>40</v>
      </c>
      <c r="F111">
        <v>3</v>
      </c>
      <c r="G111" s="1">
        <v>685144</v>
      </c>
      <c r="H111" s="1">
        <v>2055432</v>
      </c>
      <c r="I111" t="s">
        <v>374</v>
      </c>
      <c r="J111" t="s">
        <v>23</v>
      </c>
      <c r="K111" t="s">
        <v>18</v>
      </c>
      <c r="L111" t="str">
        <f t="shared" si="1"/>
        <v>High</v>
      </c>
    </row>
    <row r="112" spans="1:12" x14ac:dyDescent="0.3">
      <c r="A112" t="s">
        <v>457</v>
      </c>
      <c r="B112" t="s">
        <v>458</v>
      </c>
      <c r="C112" t="s">
        <v>459</v>
      </c>
      <c r="D112" t="s">
        <v>39</v>
      </c>
      <c r="E112" t="s">
        <v>163</v>
      </c>
      <c r="F112">
        <v>3</v>
      </c>
      <c r="G112" s="1">
        <v>1041796</v>
      </c>
      <c r="H112" s="1">
        <v>3125388</v>
      </c>
      <c r="I112" t="s">
        <v>460</v>
      </c>
      <c r="J112" t="s">
        <v>17</v>
      </c>
      <c r="K112" t="s">
        <v>46</v>
      </c>
      <c r="L112" t="str">
        <f t="shared" si="1"/>
        <v>High</v>
      </c>
    </row>
    <row r="113" spans="1:12" x14ac:dyDescent="0.3">
      <c r="A113" t="s">
        <v>461</v>
      </c>
      <c r="B113" t="s">
        <v>462</v>
      </c>
      <c r="C113" t="s">
        <v>463</v>
      </c>
      <c r="D113" t="s">
        <v>64</v>
      </c>
      <c r="E113" t="s">
        <v>40</v>
      </c>
      <c r="F113">
        <v>3</v>
      </c>
      <c r="G113" s="1">
        <v>722859</v>
      </c>
      <c r="H113" s="1">
        <v>2168577</v>
      </c>
      <c r="I113" t="s">
        <v>464</v>
      </c>
      <c r="J113" t="s">
        <v>23</v>
      </c>
      <c r="K113" t="s">
        <v>46</v>
      </c>
      <c r="L113" t="str">
        <f t="shared" si="1"/>
        <v>High</v>
      </c>
    </row>
    <row r="114" spans="1:12" x14ac:dyDescent="0.3">
      <c r="A114" t="s">
        <v>465</v>
      </c>
      <c r="B114" t="s">
        <v>466</v>
      </c>
      <c r="C114" t="s">
        <v>467</v>
      </c>
      <c r="D114" t="s">
        <v>33</v>
      </c>
      <c r="E114" t="s">
        <v>55</v>
      </c>
      <c r="F114">
        <v>2</v>
      </c>
      <c r="G114" s="1">
        <v>144533</v>
      </c>
      <c r="H114" s="1">
        <v>289066</v>
      </c>
      <c r="I114" t="s">
        <v>468</v>
      </c>
      <c r="J114" t="s">
        <v>23</v>
      </c>
      <c r="K114" t="s">
        <v>29</v>
      </c>
      <c r="L114" t="str">
        <f t="shared" si="1"/>
        <v>Low</v>
      </c>
    </row>
    <row r="115" spans="1:12" x14ac:dyDescent="0.3">
      <c r="A115" t="s">
        <v>469</v>
      </c>
      <c r="B115" t="s">
        <v>470</v>
      </c>
      <c r="C115" t="s">
        <v>471</v>
      </c>
      <c r="D115" t="s">
        <v>64</v>
      </c>
      <c r="E115" t="s">
        <v>74</v>
      </c>
      <c r="F115">
        <v>1</v>
      </c>
      <c r="G115" s="1">
        <v>872611</v>
      </c>
      <c r="H115" s="1">
        <v>872611</v>
      </c>
      <c r="I115" t="s">
        <v>256</v>
      </c>
      <c r="J115" t="s">
        <v>23</v>
      </c>
      <c r="K115" t="s">
        <v>29</v>
      </c>
      <c r="L115" t="str">
        <f t="shared" si="1"/>
        <v>Medium</v>
      </c>
    </row>
    <row r="116" spans="1:12" x14ac:dyDescent="0.3">
      <c r="A116" t="s">
        <v>472</v>
      </c>
      <c r="B116" t="s">
        <v>473</v>
      </c>
      <c r="C116" t="s">
        <v>474</v>
      </c>
      <c r="D116" t="s">
        <v>27</v>
      </c>
      <c r="E116" t="s">
        <v>55</v>
      </c>
      <c r="F116">
        <v>5</v>
      </c>
      <c r="G116" s="1">
        <v>1353962</v>
      </c>
      <c r="H116" s="1">
        <v>6769810</v>
      </c>
      <c r="I116" t="s">
        <v>475</v>
      </c>
      <c r="J116" t="s">
        <v>17</v>
      </c>
      <c r="K116" t="s">
        <v>29</v>
      </c>
      <c r="L116" t="str">
        <f t="shared" si="1"/>
        <v>High</v>
      </c>
    </row>
    <row r="117" spans="1:12" x14ac:dyDescent="0.3">
      <c r="A117" t="s">
        <v>476</v>
      </c>
      <c r="B117" t="s">
        <v>477</v>
      </c>
      <c r="C117" t="s">
        <v>478</v>
      </c>
      <c r="D117" t="s">
        <v>123</v>
      </c>
      <c r="E117" t="s">
        <v>74</v>
      </c>
      <c r="F117">
        <v>5</v>
      </c>
      <c r="G117" s="1">
        <v>506373</v>
      </c>
      <c r="H117" s="1">
        <v>2531865</v>
      </c>
      <c r="I117" t="s">
        <v>479</v>
      </c>
      <c r="J117" t="s">
        <v>23</v>
      </c>
      <c r="K117" t="s">
        <v>46</v>
      </c>
      <c r="L117" t="str">
        <f t="shared" si="1"/>
        <v>High</v>
      </c>
    </row>
    <row r="118" spans="1:12" x14ac:dyDescent="0.3">
      <c r="A118" t="s">
        <v>480</v>
      </c>
      <c r="B118" t="s">
        <v>481</v>
      </c>
      <c r="C118" t="s">
        <v>482</v>
      </c>
      <c r="D118" t="s">
        <v>27</v>
      </c>
      <c r="E118" t="s">
        <v>74</v>
      </c>
      <c r="F118">
        <v>1</v>
      </c>
      <c r="G118" s="1">
        <v>909256</v>
      </c>
      <c r="H118" s="1">
        <v>909256</v>
      </c>
      <c r="I118" t="s">
        <v>483</v>
      </c>
      <c r="J118" t="s">
        <v>23</v>
      </c>
      <c r="K118" t="s">
        <v>29</v>
      </c>
      <c r="L118" t="str">
        <f t="shared" si="1"/>
        <v>Medium</v>
      </c>
    </row>
    <row r="119" spans="1:12" x14ac:dyDescent="0.3">
      <c r="A119" t="s">
        <v>484</v>
      </c>
      <c r="B119" t="s">
        <v>485</v>
      </c>
      <c r="C119" t="s">
        <v>486</v>
      </c>
      <c r="D119" t="s">
        <v>27</v>
      </c>
      <c r="E119" t="s">
        <v>74</v>
      </c>
      <c r="F119">
        <v>3</v>
      </c>
      <c r="G119" s="1">
        <v>487871</v>
      </c>
      <c r="H119" s="1">
        <v>1463613</v>
      </c>
      <c r="I119" t="s">
        <v>394</v>
      </c>
      <c r="J119" t="s">
        <v>23</v>
      </c>
      <c r="K119" t="s">
        <v>46</v>
      </c>
      <c r="L119" t="str">
        <f t="shared" si="1"/>
        <v>Medium</v>
      </c>
    </row>
    <row r="120" spans="1:12" x14ac:dyDescent="0.3">
      <c r="A120" t="s">
        <v>487</v>
      </c>
      <c r="B120" t="s">
        <v>488</v>
      </c>
      <c r="C120" t="s">
        <v>489</v>
      </c>
      <c r="D120" t="s">
        <v>27</v>
      </c>
      <c r="E120" t="s">
        <v>55</v>
      </c>
      <c r="F120">
        <v>2</v>
      </c>
      <c r="G120" s="1">
        <v>620701</v>
      </c>
      <c r="H120" s="1">
        <v>1241402</v>
      </c>
      <c r="I120" t="s">
        <v>490</v>
      </c>
      <c r="J120" t="s">
        <v>17</v>
      </c>
      <c r="K120" t="s">
        <v>46</v>
      </c>
      <c r="L120" t="str">
        <f t="shared" si="1"/>
        <v>Medium</v>
      </c>
    </row>
    <row r="121" spans="1:12" x14ac:dyDescent="0.3">
      <c r="A121" t="s">
        <v>491</v>
      </c>
      <c r="B121" t="s">
        <v>492</v>
      </c>
      <c r="C121" t="s">
        <v>493</v>
      </c>
      <c r="D121" t="s">
        <v>33</v>
      </c>
      <c r="E121" t="s">
        <v>15</v>
      </c>
      <c r="F121">
        <v>5</v>
      </c>
      <c r="G121" s="1">
        <v>828203</v>
      </c>
      <c r="H121" s="1">
        <v>4141015</v>
      </c>
      <c r="I121" t="s">
        <v>494</v>
      </c>
      <c r="J121" t="s">
        <v>17</v>
      </c>
      <c r="K121" t="s">
        <v>18</v>
      </c>
      <c r="L121" t="str">
        <f t="shared" si="1"/>
        <v>High</v>
      </c>
    </row>
    <row r="122" spans="1:12" x14ac:dyDescent="0.3">
      <c r="A122" t="s">
        <v>495</v>
      </c>
      <c r="B122" t="s">
        <v>496</v>
      </c>
      <c r="C122" t="s">
        <v>497</v>
      </c>
      <c r="D122" t="s">
        <v>39</v>
      </c>
      <c r="E122" t="s">
        <v>55</v>
      </c>
      <c r="F122">
        <v>5</v>
      </c>
      <c r="G122" s="1">
        <v>935250</v>
      </c>
      <c r="H122" s="1">
        <v>4676250</v>
      </c>
      <c r="I122" t="s">
        <v>60</v>
      </c>
      <c r="J122" t="s">
        <v>23</v>
      </c>
      <c r="K122" t="s">
        <v>46</v>
      </c>
      <c r="L122" t="str">
        <f t="shared" si="1"/>
        <v>High</v>
      </c>
    </row>
    <row r="123" spans="1:12" x14ac:dyDescent="0.3">
      <c r="A123" t="s">
        <v>498</v>
      </c>
      <c r="B123" t="s">
        <v>499</v>
      </c>
      <c r="C123" t="s">
        <v>500</v>
      </c>
      <c r="D123" t="s">
        <v>50</v>
      </c>
      <c r="E123" t="s">
        <v>15</v>
      </c>
      <c r="F123">
        <v>2</v>
      </c>
      <c r="G123" s="1">
        <v>1299922</v>
      </c>
      <c r="H123" s="1">
        <v>2599844</v>
      </c>
      <c r="I123" t="s">
        <v>501</v>
      </c>
      <c r="J123" t="s">
        <v>17</v>
      </c>
      <c r="K123" t="s">
        <v>18</v>
      </c>
      <c r="L123" t="str">
        <f t="shared" si="1"/>
        <v>High</v>
      </c>
    </row>
    <row r="124" spans="1:12" x14ac:dyDescent="0.3">
      <c r="A124" t="s">
        <v>502</v>
      </c>
      <c r="B124" t="s">
        <v>503</v>
      </c>
      <c r="C124" t="s">
        <v>504</v>
      </c>
      <c r="D124" t="s">
        <v>39</v>
      </c>
      <c r="E124" t="s">
        <v>34</v>
      </c>
      <c r="F124">
        <v>1</v>
      </c>
      <c r="G124" s="1">
        <v>1213381</v>
      </c>
      <c r="H124" s="1">
        <v>1213381</v>
      </c>
      <c r="I124" t="s">
        <v>505</v>
      </c>
      <c r="J124" t="s">
        <v>23</v>
      </c>
      <c r="K124" t="s">
        <v>18</v>
      </c>
      <c r="L124" t="str">
        <f t="shared" si="1"/>
        <v>Medium</v>
      </c>
    </row>
    <row r="125" spans="1:12" x14ac:dyDescent="0.3">
      <c r="A125" t="s">
        <v>506</v>
      </c>
      <c r="B125" t="s">
        <v>507</v>
      </c>
      <c r="C125" t="s">
        <v>508</v>
      </c>
      <c r="D125" t="s">
        <v>50</v>
      </c>
      <c r="E125" t="s">
        <v>55</v>
      </c>
      <c r="F125">
        <v>4</v>
      </c>
      <c r="G125" s="1">
        <v>132716</v>
      </c>
      <c r="H125" s="1">
        <v>530864</v>
      </c>
      <c r="I125" t="s">
        <v>509</v>
      </c>
      <c r="J125" t="s">
        <v>17</v>
      </c>
      <c r="K125" t="s">
        <v>46</v>
      </c>
      <c r="L125" t="str">
        <f t="shared" si="1"/>
        <v>Medium</v>
      </c>
    </row>
    <row r="126" spans="1:12" x14ac:dyDescent="0.3">
      <c r="A126" t="s">
        <v>510</v>
      </c>
      <c r="B126" t="s">
        <v>511</v>
      </c>
      <c r="C126" t="s">
        <v>512</v>
      </c>
      <c r="D126" t="s">
        <v>33</v>
      </c>
      <c r="E126" t="s">
        <v>74</v>
      </c>
      <c r="F126">
        <v>2</v>
      </c>
      <c r="G126" s="1">
        <v>977416</v>
      </c>
      <c r="H126" s="1">
        <v>1954832</v>
      </c>
      <c r="I126" t="s">
        <v>513</v>
      </c>
      <c r="J126" t="s">
        <v>23</v>
      </c>
      <c r="K126" t="s">
        <v>29</v>
      </c>
      <c r="L126" t="str">
        <f t="shared" si="1"/>
        <v>Medium</v>
      </c>
    </row>
    <row r="127" spans="1:12" x14ac:dyDescent="0.3">
      <c r="A127" t="s">
        <v>514</v>
      </c>
      <c r="B127" t="s">
        <v>515</v>
      </c>
      <c r="C127" t="s">
        <v>516</v>
      </c>
      <c r="D127" t="s">
        <v>50</v>
      </c>
      <c r="E127" t="s">
        <v>55</v>
      </c>
      <c r="F127">
        <v>5</v>
      </c>
      <c r="G127" s="1">
        <v>1240380</v>
      </c>
      <c r="H127" s="1">
        <v>6201900</v>
      </c>
      <c r="I127" t="s">
        <v>398</v>
      </c>
      <c r="J127" t="s">
        <v>17</v>
      </c>
      <c r="K127" t="s">
        <v>46</v>
      </c>
      <c r="L127" t="str">
        <f t="shared" si="1"/>
        <v>High</v>
      </c>
    </row>
    <row r="128" spans="1:12" x14ac:dyDescent="0.3">
      <c r="A128" t="s">
        <v>517</v>
      </c>
      <c r="B128" t="s">
        <v>518</v>
      </c>
      <c r="C128" t="s">
        <v>519</v>
      </c>
      <c r="D128" t="s">
        <v>14</v>
      </c>
      <c r="E128" t="s">
        <v>15</v>
      </c>
      <c r="F128">
        <v>5</v>
      </c>
      <c r="G128" s="1">
        <v>995790</v>
      </c>
      <c r="H128" s="1">
        <v>4978950</v>
      </c>
      <c r="I128" t="s">
        <v>520</v>
      </c>
      <c r="J128" t="s">
        <v>23</v>
      </c>
      <c r="K128" t="s">
        <v>18</v>
      </c>
      <c r="L128" t="str">
        <f t="shared" si="1"/>
        <v>High</v>
      </c>
    </row>
    <row r="129" spans="1:12" x14ac:dyDescent="0.3">
      <c r="A129" t="s">
        <v>521</v>
      </c>
      <c r="B129" t="s">
        <v>522</v>
      </c>
      <c r="C129" t="s">
        <v>523</v>
      </c>
      <c r="D129" t="s">
        <v>27</v>
      </c>
      <c r="E129" t="s">
        <v>163</v>
      </c>
      <c r="F129">
        <v>2</v>
      </c>
      <c r="G129" s="1">
        <v>598571</v>
      </c>
      <c r="H129" s="1">
        <v>1197142</v>
      </c>
      <c r="I129" t="s">
        <v>524</v>
      </c>
      <c r="J129" t="s">
        <v>23</v>
      </c>
      <c r="K129" t="s">
        <v>46</v>
      </c>
      <c r="L129" t="str">
        <f t="shared" si="1"/>
        <v>Medium</v>
      </c>
    </row>
    <row r="130" spans="1:12" x14ac:dyDescent="0.3">
      <c r="A130" t="s">
        <v>525</v>
      </c>
      <c r="B130" t="s">
        <v>526</v>
      </c>
      <c r="C130" t="s">
        <v>527</v>
      </c>
      <c r="D130" t="s">
        <v>64</v>
      </c>
      <c r="E130" t="s">
        <v>69</v>
      </c>
      <c r="F130">
        <v>1</v>
      </c>
      <c r="G130" s="1">
        <v>965645</v>
      </c>
      <c r="H130" s="1">
        <v>965645</v>
      </c>
      <c r="I130" t="s">
        <v>528</v>
      </c>
      <c r="J130" t="s">
        <v>17</v>
      </c>
      <c r="K130" t="s">
        <v>18</v>
      </c>
      <c r="L130" t="str">
        <f t="shared" si="1"/>
        <v>Medium</v>
      </c>
    </row>
    <row r="131" spans="1:12" x14ac:dyDescent="0.3">
      <c r="A131" t="s">
        <v>529</v>
      </c>
      <c r="B131" t="s">
        <v>530</v>
      </c>
      <c r="C131" t="s">
        <v>531</v>
      </c>
      <c r="D131" t="s">
        <v>27</v>
      </c>
      <c r="E131" t="s">
        <v>15</v>
      </c>
      <c r="F131">
        <v>4</v>
      </c>
      <c r="G131" s="1">
        <v>1147644</v>
      </c>
      <c r="H131" s="1">
        <v>4590576</v>
      </c>
      <c r="I131" t="s">
        <v>532</v>
      </c>
      <c r="J131" t="s">
        <v>17</v>
      </c>
      <c r="K131" t="s">
        <v>29</v>
      </c>
      <c r="L131" t="str">
        <f t="shared" ref="L131:L194" si="2">IF(H131&gt;2000000,"High",IF(H131&gt;500000,"Medium","Low"))</f>
        <v>High</v>
      </c>
    </row>
    <row r="132" spans="1:12" x14ac:dyDescent="0.3">
      <c r="A132" t="s">
        <v>533</v>
      </c>
      <c r="B132" t="s">
        <v>534</v>
      </c>
      <c r="C132" t="s">
        <v>535</v>
      </c>
      <c r="D132" t="s">
        <v>27</v>
      </c>
      <c r="E132" t="s">
        <v>40</v>
      </c>
      <c r="F132">
        <v>2</v>
      </c>
      <c r="G132" s="1">
        <v>755902</v>
      </c>
      <c r="H132" s="1">
        <v>1511804</v>
      </c>
      <c r="I132" t="s">
        <v>475</v>
      </c>
      <c r="J132" t="s">
        <v>23</v>
      </c>
      <c r="K132" t="s">
        <v>29</v>
      </c>
      <c r="L132" t="str">
        <f t="shared" si="2"/>
        <v>Medium</v>
      </c>
    </row>
    <row r="133" spans="1:12" x14ac:dyDescent="0.3">
      <c r="A133" t="s">
        <v>536</v>
      </c>
      <c r="B133" t="s">
        <v>537</v>
      </c>
      <c r="C133" t="s">
        <v>538</v>
      </c>
      <c r="D133" t="s">
        <v>123</v>
      </c>
      <c r="E133" t="s">
        <v>163</v>
      </c>
      <c r="F133">
        <v>3</v>
      </c>
      <c r="G133" s="1">
        <v>202904</v>
      </c>
      <c r="H133" s="1">
        <v>608712</v>
      </c>
      <c r="I133" t="s">
        <v>260</v>
      </c>
      <c r="J133" t="s">
        <v>17</v>
      </c>
      <c r="K133" t="s">
        <v>29</v>
      </c>
      <c r="L133" t="str">
        <f t="shared" si="2"/>
        <v>Medium</v>
      </c>
    </row>
    <row r="134" spans="1:12" x14ac:dyDescent="0.3">
      <c r="A134" t="s">
        <v>539</v>
      </c>
      <c r="B134" t="s">
        <v>540</v>
      </c>
      <c r="C134" t="s">
        <v>541</v>
      </c>
      <c r="D134" t="s">
        <v>39</v>
      </c>
      <c r="E134" t="s">
        <v>163</v>
      </c>
      <c r="F134">
        <v>3</v>
      </c>
      <c r="G134" s="1">
        <v>1220771</v>
      </c>
      <c r="H134" s="1">
        <v>3662313</v>
      </c>
      <c r="I134" t="s">
        <v>542</v>
      </c>
      <c r="J134" t="s">
        <v>23</v>
      </c>
      <c r="K134" t="s">
        <v>18</v>
      </c>
      <c r="L134" t="str">
        <f t="shared" si="2"/>
        <v>High</v>
      </c>
    </row>
    <row r="135" spans="1:12" x14ac:dyDescent="0.3">
      <c r="A135" t="s">
        <v>543</v>
      </c>
      <c r="B135" t="s">
        <v>544</v>
      </c>
      <c r="C135" t="s">
        <v>545</v>
      </c>
      <c r="D135" t="s">
        <v>39</v>
      </c>
      <c r="E135" t="s">
        <v>34</v>
      </c>
      <c r="F135">
        <v>1</v>
      </c>
      <c r="G135" s="1">
        <v>110317</v>
      </c>
      <c r="H135" s="1">
        <v>110317</v>
      </c>
      <c r="I135" t="s">
        <v>546</v>
      </c>
      <c r="J135" t="s">
        <v>23</v>
      </c>
      <c r="K135" t="s">
        <v>29</v>
      </c>
      <c r="L135" t="str">
        <f t="shared" si="2"/>
        <v>Low</v>
      </c>
    </row>
    <row r="136" spans="1:12" x14ac:dyDescent="0.3">
      <c r="A136" t="s">
        <v>547</v>
      </c>
      <c r="B136" t="s">
        <v>548</v>
      </c>
      <c r="C136" t="s">
        <v>549</v>
      </c>
      <c r="D136" t="s">
        <v>64</v>
      </c>
      <c r="E136" t="s">
        <v>74</v>
      </c>
      <c r="F136">
        <v>5</v>
      </c>
      <c r="G136" s="1">
        <v>1090814</v>
      </c>
      <c r="H136" s="1">
        <v>5454070</v>
      </c>
      <c r="I136" t="s">
        <v>172</v>
      </c>
      <c r="J136" t="s">
        <v>17</v>
      </c>
      <c r="K136" t="s">
        <v>29</v>
      </c>
      <c r="L136" t="str">
        <f t="shared" si="2"/>
        <v>High</v>
      </c>
    </row>
    <row r="137" spans="1:12" x14ac:dyDescent="0.3">
      <c r="A137" t="s">
        <v>550</v>
      </c>
      <c r="B137" t="s">
        <v>551</v>
      </c>
      <c r="C137" t="s">
        <v>552</v>
      </c>
      <c r="D137" t="s">
        <v>33</v>
      </c>
      <c r="E137" t="s">
        <v>15</v>
      </c>
      <c r="F137">
        <v>1</v>
      </c>
      <c r="G137" s="1">
        <v>1233209</v>
      </c>
      <c r="H137" s="1">
        <v>1233209</v>
      </c>
      <c r="I137" t="s">
        <v>553</v>
      </c>
      <c r="J137" t="s">
        <v>23</v>
      </c>
      <c r="K137" t="s">
        <v>18</v>
      </c>
      <c r="L137" t="str">
        <f t="shared" si="2"/>
        <v>Medium</v>
      </c>
    </row>
    <row r="138" spans="1:12" x14ac:dyDescent="0.3">
      <c r="A138" t="s">
        <v>554</v>
      </c>
      <c r="B138" t="s">
        <v>555</v>
      </c>
      <c r="C138" t="s">
        <v>556</v>
      </c>
      <c r="D138" t="s">
        <v>64</v>
      </c>
      <c r="E138" t="s">
        <v>34</v>
      </c>
      <c r="F138">
        <v>5</v>
      </c>
      <c r="G138" s="1">
        <v>272485</v>
      </c>
      <c r="H138" s="1">
        <v>1362425</v>
      </c>
      <c r="I138" t="s">
        <v>370</v>
      </c>
      <c r="J138" t="s">
        <v>23</v>
      </c>
      <c r="K138" t="s">
        <v>18</v>
      </c>
      <c r="L138" t="str">
        <f t="shared" si="2"/>
        <v>Medium</v>
      </c>
    </row>
    <row r="139" spans="1:12" x14ac:dyDescent="0.3">
      <c r="A139" t="s">
        <v>557</v>
      </c>
      <c r="B139" t="s">
        <v>558</v>
      </c>
      <c r="C139" t="s">
        <v>559</v>
      </c>
      <c r="D139" t="s">
        <v>27</v>
      </c>
      <c r="E139" t="s">
        <v>163</v>
      </c>
      <c r="F139">
        <v>2</v>
      </c>
      <c r="G139" s="1">
        <v>1170799</v>
      </c>
      <c r="H139" s="1">
        <v>2341598</v>
      </c>
      <c r="I139" t="s">
        <v>560</v>
      </c>
      <c r="J139" t="s">
        <v>23</v>
      </c>
      <c r="K139" t="s">
        <v>18</v>
      </c>
      <c r="L139" t="str">
        <f t="shared" si="2"/>
        <v>High</v>
      </c>
    </row>
    <row r="140" spans="1:12" x14ac:dyDescent="0.3">
      <c r="A140" t="s">
        <v>561</v>
      </c>
      <c r="B140" t="s">
        <v>562</v>
      </c>
      <c r="C140" t="s">
        <v>563</v>
      </c>
      <c r="D140" t="s">
        <v>27</v>
      </c>
      <c r="E140" t="s">
        <v>163</v>
      </c>
      <c r="F140">
        <v>4</v>
      </c>
      <c r="G140" s="1">
        <v>208908</v>
      </c>
      <c r="H140" s="1">
        <v>835632</v>
      </c>
      <c r="I140" t="s">
        <v>564</v>
      </c>
      <c r="J140" t="s">
        <v>23</v>
      </c>
      <c r="K140" t="s">
        <v>46</v>
      </c>
      <c r="L140" t="str">
        <f t="shared" si="2"/>
        <v>Medium</v>
      </c>
    </row>
    <row r="141" spans="1:12" x14ac:dyDescent="0.3">
      <c r="A141" t="s">
        <v>565</v>
      </c>
      <c r="B141" t="s">
        <v>566</v>
      </c>
      <c r="C141" t="s">
        <v>567</v>
      </c>
      <c r="D141" t="s">
        <v>64</v>
      </c>
      <c r="E141" t="s">
        <v>74</v>
      </c>
      <c r="F141">
        <v>3</v>
      </c>
      <c r="G141" s="1">
        <v>414581</v>
      </c>
      <c r="H141" s="1">
        <v>1243743</v>
      </c>
      <c r="I141" t="s">
        <v>216</v>
      </c>
      <c r="J141" t="s">
        <v>23</v>
      </c>
      <c r="K141" t="s">
        <v>46</v>
      </c>
      <c r="L141" t="str">
        <f t="shared" si="2"/>
        <v>Medium</v>
      </c>
    </row>
    <row r="142" spans="1:12" x14ac:dyDescent="0.3">
      <c r="A142" t="s">
        <v>568</v>
      </c>
      <c r="B142" t="s">
        <v>569</v>
      </c>
      <c r="C142" t="s">
        <v>570</v>
      </c>
      <c r="D142" t="s">
        <v>50</v>
      </c>
      <c r="E142" t="s">
        <v>163</v>
      </c>
      <c r="F142">
        <v>2</v>
      </c>
      <c r="G142" s="1">
        <v>1194135</v>
      </c>
      <c r="H142" s="1">
        <v>2388270</v>
      </c>
      <c r="I142" t="s">
        <v>571</v>
      </c>
      <c r="J142" t="s">
        <v>17</v>
      </c>
      <c r="K142" t="s">
        <v>29</v>
      </c>
      <c r="L142" t="str">
        <f t="shared" si="2"/>
        <v>High</v>
      </c>
    </row>
    <row r="143" spans="1:12" x14ac:dyDescent="0.3">
      <c r="A143" t="s">
        <v>572</v>
      </c>
      <c r="B143" t="s">
        <v>573</v>
      </c>
      <c r="C143" t="s">
        <v>574</v>
      </c>
      <c r="D143" t="s">
        <v>33</v>
      </c>
      <c r="E143" t="s">
        <v>69</v>
      </c>
      <c r="F143">
        <v>3</v>
      </c>
      <c r="G143" s="1">
        <v>825177</v>
      </c>
      <c r="H143" s="1">
        <v>2475531</v>
      </c>
      <c r="I143" t="s">
        <v>304</v>
      </c>
      <c r="J143" t="s">
        <v>23</v>
      </c>
      <c r="K143" t="s">
        <v>46</v>
      </c>
      <c r="L143" t="str">
        <f t="shared" si="2"/>
        <v>High</v>
      </c>
    </row>
    <row r="144" spans="1:12" x14ac:dyDescent="0.3">
      <c r="A144" t="s">
        <v>575</v>
      </c>
      <c r="B144" t="s">
        <v>576</v>
      </c>
      <c r="C144" t="s">
        <v>577</v>
      </c>
      <c r="D144" t="s">
        <v>33</v>
      </c>
      <c r="E144" t="s">
        <v>163</v>
      </c>
      <c r="F144">
        <v>2</v>
      </c>
      <c r="G144" s="1">
        <v>1282516</v>
      </c>
      <c r="H144" s="1">
        <v>2565032</v>
      </c>
      <c r="I144" t="s">
        <v>413</v>
      </c>
      <c r="J144" t="s">
        <v>17</v>
      </c>
      <c r="K144" t="s">
        <v>29</v>
      </c>
      <c r="L144" t="str">
        <f t="shared" si="2"/>
        <v>High</v>
      </c>
    </row>
    <row r="145" spans="1:12" x14ac:dyDescent="0.3">
      <c r="A145" t="s">
        <v>578</v>
      </c>
      <c r="B145" t="s">
        <v>579</v>
      </c>
      <c r="C145" t="s">
        <v>580</v>
      </c>
      <c r="D145" t="s">
        <v>27</v>
      </c>
      <c r="E145" t="s">
        <v>74</v>
      </c>
      <c r="F145">
        <v>1</v>
      </c>
      <c r="G145" s="1">
        <v>1428205</v>
      </c>
      <c r="H145" s="1">
        <v>1428205</v>
      </c>
      <c r="I145" t="s">
        <v>581</v>
      </c>
      <c r="J145" t="s">
        <v>17</v>
      </c>
      <c r="K145" t="s">
        <v>46</v>
      </c>
      <c r="L145" t="str">
        <f t="shared" si="2"/>
        <v>Medium</v>
      </c>
    </row>
    <row r="146" spans="1:12" x14ac:dyDescent="0.3">
      <c r="A146" t="s">
        <v>582</v>
      </c>
      <c r="B146" t="s">
        <v>583</v>
      </c>
      <c r="C146" t="s">
        <v>584</v>
      </c>
      <c r="D146" t="s">
        <v>33</v>
      </c>
      <c r="E146" t="s">
        <v>69</v>
      </c>
      <c r="F146">
        <v>4</v>
      </c>
      <c r="G146" s="1">
        <v>1298655</v>
      </c>
      <c r="H146" s="1">
        <v>5194620</v>
      </c>
      <c r="I146" t="s">
        <v>65</v>
      </c>
      <c r="J146" t="s">
        <v>17</v>
      </c>
      <c r="K146" t="s">
        <v>18</v>
      </c>
      <c r="L146" t="str">
        <f t="shared" si="2"/>
        <v>High</v>
      </c>
    </row>
    <row r="147" spans="1:12" x14ac:dyDescent="0.3">
      <c r="A147" t="s">
        <v>585</v>
      </c>
      <c r="B147" t="s">
        <v>586</v>
      </c>
      <c r="C147" t="s">
        <v>587</v>
      </c>
      <c r="D147" t="s">
        <v>14</v>
      </c>
      <c r="E147" t="s">
        <v>163</v>
      </c>
      <c r="F147">
        <v>3</v>
      </c>
      <c r="G147" s="1">
        <v>1284187</v>
      </c>
      <c r="H147" s="1">
        <v>3852561</v>
      </c>
      <c r="I147" t="s">
        <v>588</v>
      </c>
      <c r="J147" t="s">
        <v>17</v>
      </c>
      <c r="K147" t="s">
        <v>18</v>
      </c>
      <c r="L147" t="str">
        <f t="shared" si="2"/>
        <v>High</v>
      </c>
    </row>
    <row r="148" spans="1:12" x14ac:dyDescent="0.3">
      <c r="A148" t="s">
        <v>589</v>
      </c>
      <c r="B148" t="s">
        <v>590</v>
      </c>
      <c r="C148" t="s">
        <v>591</v>
      </c>
      <c r="D148" t="s">
        <v>50</v>
      </c>
      <c r="E148" t="s">
        <v>74</v>
      </c>
      <c r="F148">
        <v>1</v>
      </c>
      <c r="G148" s="1">
        <v>733847</v>
      </c>
      <c r="H148" s="1">
        <v>733847</v>
      </c>
      <c r="I148" t="s">
        <v>592</v>
      </c>
      <c r="J148" t="s">
        <v>23</v>
      </c>
      <c r="K148" t="s">
        <v>29</v>
      </c>
      <c r="L148" t="str">
        <f t="shared" si="2"/>
        <v>Medium</v>
      </c>
    </row>
    <row r="149" spans="1:12" x14ac:dyDescent="0.3">
      <c r="A149" t="s">
        <v>593</v>
      </c>
      <c r="B149" t="s">
        <v>594</v>
      </c>
      <c r="C149" t="s">
        <v>595</v>
      </c>
      <c r="D149" t="s">
        <v>39</v>
      </c>
      <c r="E149" t="s">
        <v>34</v>
      </c>
      <c r="F149">
        <v>4</v>
      </c>
      <c r="G149" s="1">
        <v>498812</v>
      </c>
      <c r="H149" s="1">
        <v>1995248</v>
      </c>
      <c r="I149" t="s">
        <v>596</v>
      </c>
      <c r="J149" t="s">
        <v>23</v>
      </c>
      <c r="K149" t="s">
        <v>18</v>
      </c>
      <c r="L149" t="str">
        <f t="shared" si="2"/>
        <v>Medium</v>
      </c>
    </row>
    <row r="150" spans="1:12" x14ac:dyDescent="0.3">
      <c r="A150" t="s">
        <v>597</v>
      </c>
      <c r="B150" t="s">
        <v>598</v>
      </c>
      <c r="C150" t="s">
        <v>599</v>
      </c>
      <c r="D150" t="s">
        <v>14</v>
      </c>
      <c r="E150" t="s">
        <v>69</v>
      </c>
      <c r="F150">
        <v>4</v>
      </c>
      <c r="G150" s="1">
        <v>1217708</v>
      </c>
      <c r="H150" s="1">
        <v>4870832</v>
      </c>
      <c r="I150" t="s">
        <v>468</v>
      </c>
      <c r="J150" t="s">
        <v>23</v>
      </c>
      <c r="K150" t="s">
        <v>29</v>
      </c>
      <c r="L150" t="str">
        <f t="shared" si="2"/>
        <v>High</v>
      </c>
    </row>
    <row r="151" spans="1:12" x14ac:dyDescent="0.3">
      <c r="A151" t="s">
        <v>600</v>
      </c>
      <c r="B151" t="s">
        <v>601</v>
      </c>
      <c r="C151" t="s">
        <v>602</v>
      </c>
      <c r="D151" t="s">
        <v>50</v>
      </c>
      <c r="E151" t="s">
        <v>69</v>
      </c>
      <c r="F151">
        <v>5</v>
      </c>
      <c r="G151" s="1">
        <v>1243947</v>
      </c>
      <c r="H151" s="1">
        <v>6219735</v>
      </c>
      <c r="I151" t="s">
        <v>603</v>
      </c>
      <c r="J151" t="s">
        <v>17</v>
      </c>
      <c r="K151" t="s">
        <v>18</v>
      </c>
      <c r="L151" t="str">
        <f t="shared" si="2"/>
        <v>High</v>
      </c>
    </row>
    <row r="152" spans="1:12" x14ac:dyDescent="0.3">
      <c r="A152" t="s">
        <v>604</v>
      </c>
      <c r="B152" t="s">
        <v>605</v>
      </c>
      <c r="C152" t="s">
        <v>606</v>
      </c>
      <c r="D152" t="s">
        <v>14</v>
      </c>
      <c r="E152" t="s">
        <v>15</v>
      </c>
      <c r="F152">
        <v>1</v>
      </c>
      <c r="G152" s="1">
        <v>598210</v>
      </c>
      <c r="H152" s="1">
        <v>598210</v>
      </c>
      <c r="I152" t="s">
        <v>607</v>
      </c>
      <c r="J152" t="s">
        <v>17</v>
      </c>
      <c r="K152" t="s">
        <v>46</v>
      </c>
      <c r="L152" t="str">
        <f t="shared" si="2"/>
        <v>Medium</v>
      </c>
    </row>
    <row r="153" spans="1:12" x14ac:dyDescent="0.3">
      <c r="A153" t="s">
        <v>608</v>
      </c>
      <c r="B153" t="s">
        <v>609</v>
      </c>
      <c r="C153" t="s">
        <v>610</v>
      </c>
      <c r="D153" t="s">
        <v>64</v>
      </c>
      <c r="E153" t="s">
        <v>34</v>
      </c>
      <c r="F153">
        <v>2</v>
      </c>
      <c r="G153" s="1">
        <v>290471</v>
      </c>
      <c r="H153" s="1">
        <v>580942</v>
      </c>
      <c r="I153" t="s">
        <v>136</v>
      </c>
      <c r="J153" t="s">
        <v>17</v>
      </c>
      <c r="K153" t="s">
        <v>46</v>
      </c>
      <c r="L153" t="str">
        <f t="shared" si="2"/>
        <v>Medium</v>
      </c>
    </row>
    <row r="154" spans="1:12" x14ac:dyDescent="0.3">
      <c r="A154" t="s">
        <v>611</v>
      </c>
      <c r="B154" t="s">
        <v>612</v>
      </c>
      <c r="C154" t="s">
        <v>613</v>
      </c>
      <c r="D154" t="s">
        <v>14</v>
      </c>
      <c r="E154" t="s">
        <v>34</v>
      </c>
      <c r="F154">
        <v>2</v>
      </c>
      <c r="G154" s="1">
        <v>1142105</v>
      </c>
      <c r="H154" s="1">
        <v>2284210</v>
      </c>
      <c r="I154" t="s">
        <v>614</v>
      </c>
      <c r="J154" t="s">
        <v>17</v>
      </c>
      <c r="K154" t="s">
        <v>29</v>
      </c>
      <c r="L154" t="str">
        <f t="shared" si="2"/>
        <v>High</v>
      </c>
    </row>
    <row r="155" spans="1:12" x14ac:dyDescent="0.3">
      <c r="A155" t="s">
        <v>615</v>
      </c>
      <c r="B155" t="s">
        <v>616</v>
      </c>
      <c r="C155" t="s">
        <v>617</v>
      </c>
      <c r="D155" t="s">
        <v>64</v>
      </c>
      <c r="E155" t="s">
        <v>55</v>
      </c>
      <c r="F155">
        <v>1</v>
      </c>
      <c r="G155" s="1">
        <v>192788</v>
      </c>
      <c r="H155" s="1">
        <v>192788</v>
      </c>
      <c r="I155" t="s">
        <v>618</v>
      </c>
      <c r="J155" t="s">
        <v>23</v>
      </c>
      <c r="K155" t="s">
        <v>46</v>
      </c>
      <c r="L155" t="str">
        <f t="shared" si="2"/>
        <v>Low</v>
      </c>
    </row>
    <row r="156" spans="1:12" x14ac:dyDescent="0.3">
      <c r="A156" t="s">
        <v>619</v>
      </c>
      <c r="B156" t="s">
        <v>620</v>
      </c>
      <c r="C156" t="s">
        <v>621</v>
      </c>
      <c r="D156" t="s">
        <v>123</v>
      </c>
      <c r="E156" t="s">
        <v>163</v>
      </c>
      <c r="F156">
        <v>4</v>
      </c>
      <c r="G156" s="1">
        <v>469889</v>
      </c>
      <c r="H156" s="1">
        <v>1879556</v>
      </c>
      <c r="I156" t="s">
        <v>622</v>
      </c>
      <c r="J156" t="s">
        <v>17</v>
      </c>
      <c r="K156" t="s">
        <v>46</v>
      </c>
      <c r="L156" t="str">
        <f t="shared" si="2"/>
        <v>Medium</v>
      </c>
    </row>
    <row r="157" spans="1:12" x14ac:dyDescent="0.3">
      <c r="A157" t="s">
        <v>623</v>
      </c>
      <c r="B157" t="s">
        <v>624</v>
      </c>
      <c r="C157" t="s">
        <v>625</v>
      </c>
      <c r="D157" t="s">
        <v>27</v>
      </c>
      <c r="E157" t="s">
        <v>163</v>
      </c>
      <c r="F157">
        <v>3</v>
      </c>
      <c r="G157" s="1">
        <v>441841</v>
      </c>
      <c r="H157" s="1">
        <v>1325523</v>
      </c>
      <c r="I157" t="s">
        <v>45</v>
      </c>
      <c r="J157" t="s">
        <v>23</v>
      </c>
      <c r="K157" t="s">
        <v>29</v>
      </c>
      <c r="L157" t="str">
        <f t="shared" si="2"/>
        <v>Medium</v>
      </c>
    </row>
    <row r="158" spans="1:12" x14ac:dyDescent="0.3">
      <c r="A158" t="s">
        <v>626</v>
      </c>
      <c r="B158" t="s">
        <v>627</v>
      </c>
      <c r="C158" t="s">
        <v>628</v>
      </c>
      <c r="D158" t="s">
        <v>50</v>
      </c>
      <c r="E158" t="s">
        <v>74</v>
      </c>
      <c r="F158">
        <v>3</v>
      </c>
      <c r="G158" s="1">
        <v>243506</v>
      </c>
      <c r="H158" s="1">
        <v>730518</v>
      </c>
      <c r="I158" t="s">
        <v>629</v>
      </c>
      <c r="J158" t="s">
        <v>17</v>
      </c>
      <c r="K158" t="s">
        <v>29</v>
      </c>
      <c r="L158" t="str">
        <f t="shared" si="2"/>
        <v>Medium</v>
      </c>
    </row>
    <row r="159" spans="1:12" x14ac:dyDescent="0.3">
      <c r="A159" t="s">
        <v>630</v>
      </c>
      <c r="B159" t="s">
        <v>631</v>
      </c>
      <c r="C159" t="s">
        <v>632</v>
      </c>
      <c r="D159" t="s">
        <v>27</v>
      </c>
      <c r="E159" t="s">
        <v>15</v>
      </c>
      <c r="F159">
        <v>3</v>
      </c>
      <c r="G159" s="1">
        <v>305877</v>
      </c>
      <c r="H159" s="1">
        <v>917631</v>
      </c>
      <c r="I159" t="s">
        <v>633</v>
      </c>
      <c r="J159" t="s">
        <v>17</v>
      </c>
      <c r="K159" t="s">
        <v>18</v>
      </c>
      <c r="L159" t="str">
        <f t="shared" si="2"/>
        <v>Medium</v>
      </c>
    </row>
    <row r="160" spans="1:12" x14ac:dyDescent="0.3">
      <c r="A160" t="s">
        <v>634</v>
      </c>
      <c r="B160" t="s">
        <v>635</v>
      </c>
      <c r="C160" t="s">
        <v>636</v>
      </c>
      <c r="D160" t="s">
        <v>14</v>
      </c>
      <c r="E160" t="s">
        <v>69</v>
      </c>
      <c r="F160">
        <v>5</v>
      </c>
      <c r="G160" s="1">
        <v>205142</v>
      </c>
      <c r="H160" s="1">
        <v>1025710</v>
      </c>
      <c r="I160" t="s">
        <v>637</v>
      </c>
      <c r="J160" t="s">
        <v>23</v>
      </c>
      <c r="K160" t="s">
        <v>18</v>
      </c>
      <c r="L160" t="str">
        <f t="shared" si="2"/>
        <v>Medium</v>
      </c>
    </row>
    <row r="161" spans="1:12" x14ac:dyDescent="0.3">
      <c r="A161" t="s">
        <v>638</v>
      </c>
      <c r="B161" t="s">
        <v>639</v>
      </c>
      <c r="C161" t="s">
        <v>640</v>
      </c>
      <c r="D161" t="s">
        <v>33</v>
      </c>
      <c r="E161" t="s">
        <v>34</v>
      </c>
      <c r="F161">
        <v>5</v>
      </c>
      <c r="G161" s="1">
        <v>748241</v>
      </c>
      <c r="H161" s="1">
        <v>3741205</v>
      </c>
      <c r="I161" t="s">
        <v>288</v>
      </c>
      <c r="J161" t="s">
        <v>23</v>
      </c>
      <c r="K161" t="s">
        <v>29</v>
      </c>
      <c r="L161" t="str">
        <f t="shared" si="2"/>
        <v>High</v>
      </c>
    </row>
    <row r="162" spans="1:12" x14ac:dyDescent="0.3">
      <c r="A162" t="s">
        <v>641</v>
      </c>
      <c r="B162" t="s">
        <v>642</v>
      </c>
      <c r="C162" t="s">
        <v>643</v>
      </c>
      <c r="D162" t="s">
        <v>50</v>
      </c>
      <c r="E162" t="s">
        <v>34</v>
      </c>
      <c r="F162">
        <v>4</v>
      </c>
      <c r="G162" s="1">
        <v>870576</v>
      </c>
      <c r="H162" s="1">
        <v>3482304</v>
      </c>
      <c r="I162" t="s">
        <v>292</v>
      </c>
      <c r="J162" t="s">
        <v>23</v>
      </c>
      <c r="K162" t="s">
        <v>18</v>
      </c>
      <c r="L162" t="str">
        <f t="shared" si="2"/>
        <v>High</v>
      </c>
    </row>
    <row r="163" spans="1:12" x14ac:dyDescent="0.3">
      <c r="A163" t="s">
        <v>644</v>
      </c>
      <c r="B163" t="s">
        <v>645</v>
      </c>
      <c r="C163" t="s">
        <v>646</v>
      </c>
      <c r="D163" t="s">
        <v>123</v>
      </c>
      <c r="E163" t="s">
        <v>55</v>
      </c>
      <c r="F163">
        <v>2</v>
      </c>
      <c r="G163" s="1">
        <v>540505</v>
      </c>
      <c r="H163" s="1">
        <v>1081010</v>
      </c>
      <c r="I163" t="s">
        <v>647</v>
      </c>
      <c r="J163" t="s">
        <v>17</v>
      </c>
      <c r="K163" t="s">
        <v>46</v>
      </c>
      <c r="L163" t="str">
        <f t="shared" si="2"/>
        <v>Medium</v>
      </c>
    </row>
    <row r="164" spans="1:12" x14ac:dyDescent="0.3">
      <c r="A164" t="s">
        <v>648</v>
      </c>
      <c r="B164" t="s">
        <v>649</v>
      </c>
      <c r="C164" t="s">
        <v>650</v>
      </c>
      <c r="D164" t="s">
        <v>27</v>
      </c>
      <c r="E164" t="s">
        <v>69</v>
      </c>
      <c r="F164">
        <v>5</v>
      </c>
      <c r="G164" s="1">
        <v>1132948</v>
      </c>
      <c r="H164" s="1">
        <v>5664740</v>
      </c>
      <c r="I164" t="s">
        <v>468</v>
      </c>
      <c r="J164" t="s">
        <v>23</v>
      </c>
      <c r="K164" t="s">
        <v>29</v>
      </c>
      <c r="L164" t="str">
        <f t="shared" si="2"/>
        <v>High</v>
      </c>
    </row>
    <row r="165" spans="1:12" x14ac:dyDescent="0.3">
      <c r="A165" t="s">
        <v>651</v>
      </c>
      <c r="B165" t="s">
        <v>652</v>
      </c>
      <c r="C165" t="s">
        <v>653</v>
      </c>
      <c r="D165" t="s">
        <v>39</v>
      </c>
      <c r="E165" t="s">
        <v>40</v>
      </c>
      <c r="F165">
        <v>2</v>
      </c>
      <c r="G165" s="1">
        <v>662263</v>
      </c>
      <c r="H165" s="1">
        <v>1324526</v>
      </c>
      <c r="I165" t="s">
        <v>180</v>
      </c>
      <c r="J165" t="s">
        <v>17</v>
      </c>
      <c r="K165" t="s">
        <v>29</v>
      </c>
      <c r="L165" t="str">
        <f t="shared" si="2"/>
        <v>Medium</v>
      </c>
    </row>
    <row r="166" spans="1:12" x14ac:dyDescent="0.3">
      <c r="A166" t="s">
        <v>654</v>
      </c>
      <c r="B166" t="s">
        <v>655</v>
      </c>
      <c r="C166" t="s">
        <v>656</v>
      </c>
      <c r="D166" t="s">
        <v>27</v>
      </c>
      <c r="E166" t="s">
        <v>40</v>
      </c>
      <c r="F166">
        <v>4</v>
      </c>
      <c r="G166" s="1">
        <v>794648</v>
      </c>
      <c r="H166" s="1">
        <v>3178592</v>
      </c>
      <c r="I166" t="s">
        <v>188</v>
      </c>
      <c r="J166" t="s">
        <v>17</v>
      </c>
      <c r="K166" t="s">
        <v>29</v>
      </c>
      <c r="L166" t="str">
        <f t="shared" si="2"/>
        <v>High</v>
      </c>
    </row>
    <row r="167" spans="1:12" x14ac:dyDescent="0.3">
      <c r="A167" t="s">
        <v>657</v>
      </c>
      <c r="B167" t="s">
        <v>658</v>
      </c>
      <c r="C167" t="s">
        <v>659</v>
      </c>
      <c r="D167" t="s">
        <v>64</v>
      </c>
      <c r="E167" t="s">
        <v>40</v>
      </c>
      <c r="F167">
        <v>3</v>
      </c>
      <c r="G167" s="1">
        <v>229020</v>
      </c>
      <c r="H167" s="1">
        <v>687060</v>
      </c>
      <c r="I167" t="s">
        <v>660</v>
      </c>
      <c r="J167" t="s">
        <v>17</v>
      </c>
      <c r="K167" t="s">
        <v>46</v>
      </c>
      <c r="L167" t="str">
        <f t="shared" si="2"/>
        <v>Medium</v>
      </c>
    </row>
    <row r="168" spans="1:12" x14ac:dyDescent="0.3">
      <c r="A168" t="s">
        <v>661</v>
      </c>
      <c r="B168" t="s">
        <v>662</v>
      </c>
      <c r="C168" t="s">
        <v>663</v>
      </c>
      <c r="D168" t="s">
        <v>123</v>
      </c>
      <c r="E168" t="s">
        <v>74</v>
      </c>
      <c r="F168">
        <v>2</v>
      </c>
      <c r="G168" s="1">
        <v>1238234</v>
      </c>
      <c r="H168" s="1">
        <v>2476468</v>
      </c>
      <c r="I168" t="s">
        <v>212</v>
      </c>
      <c r="J168" t="s">
        <v>23</v>
      </c>
      <c r="K168" t="s">
        <v>18</v>
      </c>
      <c r="L168" t="str">
        <f t="shared" si="2"/>
        <v>High</v>
      </c>
    </row>
    <row r="169" spans="1:12" x14ac:dyDescent="0.3">
      <c r="A169" t="s">
        <v>664</v>
      </c>
      <c r="B169" t="s">
        <v>665</v>
      </c>
      <c r="C169" t="s">
        <v>666</v>
      </c>
      <c r="D169" t="s">
        <v>14</v>
      </c>
      <c r="E169" t="s">
        <v>163</v>
      </c>
      <c r="F169">
        <v>2</v>
      </c>
      <c r="G169" s="1">
        <v>952386</v>
      </c>
      <c r="H169" s="1">
        <v>1904772</v>
      </c>
      <c r="I169" t="s">
        <v>224</v>
      </c>
      <c r="J169" t="s">
        <v>23</v>
      </c>
      <c r="K169" t="s">
        <v>46</v>
      </c>
      <c r="L169" t="str">
        <f t="shared" si="2"/>
        <v>Medium</v>
      </c>
    </row>
    <row r="170" spans="1:12" x14ac:dyDescent="0.3">
      <c r="A170" t="s">
        <v>667</v>
      </c>
      <c r="B170" t="s">
        <v>668</v>
      </c>
      <c r="C170" t="s">
        <v>669</v>
      </c>
      <c r="D170" t="s">
        <v>33</v>
      </c>
      <c r="E170" t="s">
        <v>69</v>
      </c>
      <c r="F170">
        <v>5</v>
      </c>
      <c r="G170" s="1">
        <v>821596</v>
      </c>
      <c r="H170" s="1">
        <v>4107980</v>
      </c>
      <c r="I170" t="s">
        <v>490</v>
      </c>
      <c r="J170" t="s">
        <v>17</v>
      </c>
      <c r="K170" t="s">
        <v>46</v>
      </c>
      <c r="L170" t="str">
        <f t="shared" si="2"/>
        <v>High</v>
      </c>
    </row>
    <row r="171" spans="1:12" x14ac:dyDescent="0.3">
      <c r="A171" t="s">
        <v>670</v>
      </c>
      <c r="B171" t="s">
        <v>671</v>
      </c>
      <c r="C171" t="s">
        <v>672</v>
      </c>
      <c r="D171" t="s">
        <v>27</v>
      </c>
      <c r="E171" t="s">
        <v>74</v>
      </c>
      <c r="F171">
        <v>2</v>
      </c>
      <c r="G171" s="1">
        <v>182635</v>
      </c>
      <c r="H171" s="1">
        <v>365270</v>
      </c>
      <c r="I171" t="s">
        <v>673</v>
      </c>
      <c r="J171" t="s">
        <v>17</v>
      </c>
      <c r="K171" t="s">
        <v>29</v>
      </c>
      <c r="L171" t="str">
        <f t="shared" si="2"/>
        <v>Low</v>
      </c>
    </row>
    <row r="172" spans="1:12" x14ac:dyDescent="0.3">
      <c r="A172" t="s">
        <v>674</v>
      </c>
      <c r="B172" t="s">
        <v>675</v>
      </c>
      <c r="C172" t="s">
        <v>676</v>
      </c>
      <c r="D172" t="s">
        <v>39</v>
      </c>
      <c r="E172" t="s">
        <v>40</v>
      </c>
      <c r="F172">
        <v>3</v>
      </c>
      <c r="G172" s="1">
        <v>496343</v>
      </c>
      <c r="H172" s="1">
        <v>1489029</v>
      </c>
      <c r="I172" t="s">
        <v>677</v>
      </c>
      <c r="J172" t="s">
        <v>17</v>
      </c>
      <c r="K172" t="s">
        <v>18</v>
      </c>
      <c r="L172" t="str">
        <f t="shared" si="2"/>
        <v>Medium</v>
      </c>
    </row>
    <row r="173" spans="1:12" x14ac:dyDescent="0.3">
      <c r="A173" t="s">
        <v>678</v>
      </c>
      <c r="B173" t="s">
        <v>679</v>
      </c>
      <c r="C173" t="s">
        <v>680</v>
      </c>
      <c r="D173" t="s">
        <v>50</v>
      </c>
      <c r="E173" t="s">
        <v>15</v>
      </c>
      <c r="F173">
        <v>5</v>
      </c>
      <c r="G173" s="1">
        <v>463695</v>
      </c>
      <c r="H173" s="1">
        <v>2318475</v>
      </c>
      <c r="I173" t="s">
        <v>681</v>
      </c>
      <c r="J173" t="s">
        <v>17</v>
      </c>
      <c r="K173" t="s">
        <v>46</v>
      </c>
      <c r="L173" t="str">
        <f t="shared" si="2"/>
        <v>High</v>
      </c>
    </row>
    <row r="174" spans="1:12" x14ac:dyDescent="0.3">
      <c r="A174" t="s">
        <v>682</v>
      </c>
      <c r="B174" t="s">
        <v>683</v>
      </c>
      <c r="C174" t="s">
        <v>684</v>
      </c>
      <c r="D174" t="s">
        <v>27</v>
      </c>
      <c r="E174" t="s">
        <v>74</v>
      </c>
      <c r="F174">
        <v>2</v>
      </c>
      <c r="G174" s="1">
        <v>1161061</v>
      </c>
      <c r="H174" s="1">
        <v>2322122</v>
      </c>
      <c r="I174" t="s">
        <v>685</v>
      </c>
      <c r="J174" t="s">
        <v>17</v>
      </c>
      <c r="K174" t="s">
        <v>46</v>
      </c>
      <c r="L174" t="str">
        <f t="shared" si="2"/>
        <v>High</v>
      </c>
    </row>
    <row r="175" spans="1:12" x14ac:dyDescent="0.3">
      <c r="A175" t="s">
        <v>686</v>
      </c>
      <c r="B175" t="s">
        <v>687</v>
      </c>
      <c r="C175" t="s">
        <v>688</v>
      </c>
      <c r="D175" t="s">
        <v>33</v>
      </c>
      <c r="E175" t="s">
        <v>40</v>
      </c>
      <c r="F175">
        <v>3</v>
      </c>
      <c r="G175" s="1">
        <v>760183</v>
      </c>
      <c r="H175" s="1">
        <v>2280549</v>
      </c>
      <c r="I175" t="s">
        <v>689</v>
      </c>
      <c r="J175" t="s">
        <v>17</v>
      </c>
      <c r="K175" t="s">
        <v>46</v>
      </c>
      <c r="L175" t="str">
        <f t="shared" si="2"/>
        <v>High</v>
      </c>
    </row>
    <row r="176" spans="1:12" x14ac:dyDescent="0.3">
      <c r="A176" t="s">
        <v>690</v>
      </c>
      <c r="B176" t="s">
        <v>691</v>
      </c>
      <c r="C176" t="s">
        <v>692</v>
      </c>
      <c r="D176" t="s">
        <v>50</v>
      </c>
      <c r="E176" t="s">
        <v>74</v>
      </c>
      <c r="F176">
        <v>1</v>
      </c>
      <c r="G176" s="1">
        <v>759819</v>
      </c>
      <c r="H176" s="1">
        <v>759819</v>
      </c>
      <c r="I176" t="s">
        <v>693</v>
      </c>
      <c r="J176" t="s">
        <v>23</v>
      </c>
      <c r="K176" t="s">
        <v>29</v>
      </c>
      <c r="L176" t="str">
        <f t="shared" si="2"/>
        <v>Medium</v>
      </c>
    </row>
    <row r="177" spans="1:12" x14ac:dyDescent="0.3">
      <c r="A177" t="s">
        <v>694</v>
      </c>
      <c r="B177" t="s">
        <v>695</v>
      </c>
      <c r="C177" t="s">
        <v>696</v>
      </c>
      <c r="D177" t="s">
        <v>50</v>
      </c>
      <c r="E177" t="s">
        <v>163</v>
      </c>
      <c r="F177">
        <v>2</v>
      </c>
      <c r="G177" s="1">
        <v>220208</v>
      </c>
      <c r="H177" s="1">
        <v>440416</v>
      </c>
      <c r="I177" t="s">
        <v>697</v>
      </c>
      <c r="J177" t="s">
        <v>17</v>
      </c>
      <c r="K177" t="s">
        <v>18</v>
      </c>
      <c r="L177" t="str">
        <f t="shared" si="2"/>
        <v>Low</v>
      </c>
    </row>
    <row r="178" spans="1:12" x14ac:dyDescent="0.3">
      <c r="A178" t="s">
        <v>698</v>
      </c>
      <c r="B178" t="s">
        <v>699</v>
      </c>
      <c r="C178" t="s">
        <v>700</v>
      </c>
      <c r="D178" t="s">
        <v>14</v>
      </c>
      <c r="E178" t="s">
        <v>40</v>
      </c>
      <c r="F178">
        <v>4</v>
      </c>
      <c r="G178" s="1">
        <v>304598</v>
      </c>
      <c r="H178" s="1">
        <v>1218392</v>
      </c>
      <c r="I178" t="s">
        <v>701</v>
      </c>
      <c r="J178" t="s">
        <v>23</v>
      </c>
      <c r="K178" t="s">
        <v>46</v>
      </c>
      <c r="L178" t="str">
        <f t="shared" si="2"/>
        <v>Medium</v>
      </c>
    </row>
    <row r="179" spans="1:12" x14ac:dyDescent="0.3">
      <c r="A179" t="s">
        <v>702</v>
      </c>
      <c r="B179" t="s">
        <v>703</v>
      </c>
      <c r="C179" t="s">
        <v>704</v>
      </c>
      <c r="D179" t="s">
        <v>27</v>
      </c>
      <c r="E179" t="s">
        <v>34</v>
      </c>
      <c r="F179">
        <v>2</v>
      </c>
      <c r="G179" s="1">
        <v>1044757</v>
      </c>
      <c r="H179" s="1">
        <v>2089514</v>
      </c>
      <c r="I179" t="s">
        <v>705</v>
      </c>
      <c r="J179" t="s">
        <v>17</v>
      </c>
      <c r="K179" t="s">
        <v>46</v>
      </c>
      <c r="L179" t="str">
        <f t="shared" si="2"/>
        <v>High</v>
      </c>
    </row>
    <row r="180" spans="1:12" x14ac:dyDescent="0.3">
      <c r="A180" t="s">
        <v>706</v>
      </c>
      <c r="B180" t="s">
        <v>707</v>
      </c>
      <c r="C180" t="s">
        <v>708</v>
      </c>
      <c r="D180" t="s">
        <v>123</v>
      </c>
      <c r="E180" t="s">
        <v>55</v>
      </c>
      <c r="F180">
        <v>5</v>
      </c>
      <c r="G180" s="1">
        <v>769045</v>
      </c>
      <c r="H180" s="1">
        <v>3845225</v>
      </c>
      <c r="I180" t="s">
        <v>709</v>
      </c>
      <c r="J180" t="s">
        <v>17</v>
      </c>
      <c r="K180" t="s">
        <v>18</v>
      </c>
      <c r="L180" t="str">
        <f t="shared" si="2"/>
        <v>High</v>
      </c>
    </row>
    <row r="181" spans="1:12" x14ac:dyDescent="0.3">
      <c r="A181" t="s">
        <v>710</v>
      </c>
      <c r="B181" t="s">
        <v>711</v>
      </c>
      <c r="C181" t="s">
        <v>712</v>
      </c>
      <c r="D181" t="s">
        <v>123</v>
      </c>
      <c r="E181" t="s">
        <v>163</v>
      </c>
      <c r="F181">
        <v>4</v>
      </c>
      <c r="G181" s="1">
        <v>638683</v>
      </c>
      <c r="H181" s="1">
        <v>2554732</v>
      </c>
      <c r="I181" t="s">
        <v>713</v>
      </c>
      <c r="J181" t="s">
        <v>23</v>
      </c>
      <c r="K181" t="s">
        <v>18</v>
      </c>
      <c r="L181" t="str">
        <f t="shared" si="2"/>
        <v>High</v>
      </c>
    </row>
    <row r="182" spans="1:12" x14ac:dyDescent="0.3">
      <c r="A182" t="s">
        <v>714</v>
      </c>
      <c r="B182" t="s">
        <v>715</v>
      </c>
      <c r="C182" t="s">
        <v>716</v>
      </c>
      <c r="D182" t="s">
        <v>39</v>
      </c>
      <c r="E182" t="s">
        <v>15</v>
      </c>
      <c r="F182">
        <v>2</v>
      </c>
      <c r="G182" s="1">
        <v>1153004</v>
      </c>
      <c r="H182" s="1">
        <v>2306008</v>
      </c>
      <c r="I182" t="s">
        <v>717</v>
      </c>
      <c r="J182" t="s">
        <v>17</v>
      </c>
      <c r="K182" t="s">
        <v>46</v>
      </c>
      <c r="L182" t="str">
        <f t="shared" si="2"/>
        <v>High</v>
      </c>
    </row>
    <row r="183" spans="1:12" x14ac:dyDescent="0.3">
      <c r="A183" t="s">
        <v>718</v>
      </c>
      <c r="B183" t="s">
        <v>719</v>
      </c>
      <c r="C183" t="s">
        <v>720</v>
      </c>
      <c r="D183" t="s">
        <v>33</v>
      </c>
      <c r="E183" t="s">
        <v>55</v>
      </c>
      <c r="F183">
        <v>4</v>
      </c>
      <c r="G183" s="1">
        <v>101747</v>
      </c>
      <c r="H183" s="1">
        <v>406988</v>
      </c>
      <c r="I183" t="s">
        <v>721</v>
      </c>
      <c r="J183" t="s">
        <v>23</v>
      </c>
      <c r="K183" t="s">
        <v>29</v>
      </c>
      <c r="L183" t="str">
        <f t="shared" si="2"/>
        <v>Low</v>
      </c>
    </row>
    <row r="184" spans="1:12" x14ac:dyDescent="0.3">
      <c r="A184" t="s">
        <v>722</v>
      </c>
      <c r="B184" t="s">
        <v>723</v>
      </c>
      <c r="C184" t="s">
        <v>724</v>
      </c>
      <c r="D184" t="s">
        <v>27</v>
      </c>
      <c r="E184" t="s">
        <v>163</v>
      </c>
      <c r="F184">
        <v>3</v>
      </c>
      <c r="G184" s="1">
        <v>1260592</v>
      </c>
      <c r="H184" s="1">
        <v>3781776</v>
      </c>
      <c r="I184" t="s">
        <v>725</v>
      </c>
      <c r="J184" t="s">
        <v>17</v>
      </c>
      <c r="K184" t="s">
        <v>29</v>
      </c>
      <c r="L184" t="str">
        <f t="shared" si="2"/>
        <v>High</v>
      </c>
    </row>
    <row r="185" spans="1:12" x14ac:dyDescent="0.3">
      <c r="A185" t="s">
        <v>726</v>
      </c>
      <c r="B185" t="s">
        <v>727</v>
      </c>
      <c r="C185" t="s">
        <v>728</v>
      </c>
      <c r="D185" t="s">
        <v>50</v>
      </c>
      <c r="E185" t="s">
        <v>40</v>
      </c>
      <c r="F185">
        <v>2</v>
      </c>
      <c r="G185" s="1">
        <v>371287</v>
      </c>
      <c r="H185" s="1">
        <v>742574</v>
      </c>
      <c r="I185" t="s">
        <v>304</v>
      </c>
      <c r="J185" t="s">
        <v>23</v>
      </c>
      <c r="K185" t="s">
        <v>29</v>
      </c>
      <c r="L185" t="str">
        <f t="shared" si="2"/>
        <v>Medium</v>
      </c>
    </row>
    <row r="186" spans="1:12" x14ac:dyDescent="0.3">
      <c r="A186" t="s">
        <v>729</v>
      </c>
      <c r="B186" t="s">
        <v>730</v>
      </c>
      <c r="C186" t="s">
        <v>731</v>
      </c>
      <c r="D186" t="s">
        <v>50</v>
      </c>
      <c r="E186" t="s">
        <v>69</v>
      </c>
      <c r="F186">
        <v>3</v>
      </c>
      <c r="G186" s="1">
        <v>439445</v>
      </c>
      <c r="H186" s="1">
        <v>1318335</v>
      </c>
      <c r="I186" t="s">
        <v>732</v>
      </c>
      <c r="J186" t="s">
        <v>17</v>
      </c>
      <c r="K186" t="s">
        <v>29</v>
      </c>
      <c r="L186" t="str">
        <f t="shared" si="2"/>
        <v>Medium</v>
      </c>
    </row>
    <row r="187" spans="1:12" x14ac:dyDescent="0.3">
      <c r="A187" t="s">
        <v>733</v>
      </c>
      <c r="B187" t="s">
        <v>734</v>
      </c>
      <c r="C187" t="s">
        <v>735</v>
      </c>
      <c r="D187" t="s">
        <v>64</v>
      </c>
      <c r="E187" t="s">
        <v>34</v>
      </c>
      <c r="F187">
        <v>3</v>
      </c>
      <c r="G187" s="1">
        <v>851116</v>
      </c>
      <c r="H187" s="1">
        <v>2553348</v>
      </c>
      <c r="I187" t="s">
        <v>339</v>
      </c>
      <c r="J187" t="s">
        <v>17</v>
      </c>
      <c r="K187" t="s">
        <v>46</v>
      </c>
      <c r="L187" t="str">
        <f t="shared" si="2"/>
        <v>High</v>
      </c>
    </row>
    <row r="188" spans="1:12" x14ac:dyDescent="0.3">
      <c r="A188" t="s">
        <v>736</v>
      </c>
      <c r="B188" t="s">
        <v>737</v>
      </c>
      <c r="C188" t="s">
        <v>738</v>
      </c>
      <c r="D188" t="s">
        <v>27</v>
      </c>
      <c r="E188" t="s">
        <v>34</v>
      </c>
      <c r="F188">
        <v>3</v>
      </c>
      <c r="G188" s="1">
        <v>710446</v>
      </c>
      <c r="H188" s="1">
        <v>2131338</v>
      </c>
      <c r="I188" t="s">
        <v>56</v>
      </c>
      <c r="J188" t="s">
        <v>23</v>
      </c>
      <c r="K188" t="s">
        <v>29</v>
      </c>
      <c r="L188" t="str">
        <f t="shared" si="2"/>
        <v>High</v>
      </c>
    </row>
    <row r="189" spans="1:12" x14ac:dyDescent="0.3">
      <c r="A189" t="s">
        <v>739</v>
      </c>
      <c r="B189" t="s">
        <v>740</v>
      </c>
      <c r="C189" t="s">
        <v>741</v>
      </c>
      <c r="D189" t="s">
        <v>33</v>
      </c>
      <c r="E189" t="s">
        <v>163</v>
      </c>
      <c r="F189">
        <v>3</v>
      </c>
      <c r="G189" s="1">
        <v>281932</v>
      </c>
      <c r="H189" s="1">
        <v>845796</v>
      </c>
      <c r="I189" t="s">
        <v>742</v>
      </c>
      <c r="J189" t="s">
        <v>23</v>
      </c>
      <c r="K189" t="s">
        <v>29</v>
      </c>
      <c r="L189" t="str">
        <f t="shared" si="2"/>
        <v>Medium</v>
      </c>
    </row>
    <row r="190" spans="1:12" x14ac:dyDescent="0.3">
      <c r="A190" t="s">
        <v>743</v>
      </c>
      <c r="B190" t="s">
        <v>744</v>
      </c>
      <c r="C190" t="s">
        <v>745</v>
      </c>
      <c r="D190" t="s">
        <v>33</v>
      </c>
      <c r="E190" t="s">
        <v>34</v>
      </c>
      <c r="F190">
        <v>3</v>
      </c>
      <c r="G190" s="1">
        <v>538412</v>
      </c>
      <c r="H190" s="1">
        <v>1615236</v>
      </c>
      <c r="I190" t="s">
        <v>276</v>
      </c>
      <c r="J190" t="s">
        <v>17</v>
      </c>
      <c r="K190" t="s">
        <v>29</v>
      </c>
      <c r="L190" t="str">
        <f t="shared" si="2"/>
        <v>Medium</v>
      </c>
    </row>
    <row r="191" spans="1:12" x14ac:dyDescent="0.3">
      <c r="A191" t="s">
        <v>746</v>
      </c>
      <c r="B191" t="s">
        <v>747</v>
      </c>
      <c r="C191" t="s">
        <v>748</v>
      </c>
      <c r="D191" t="s">
        <v>33</v>
      </c>
      <c r="E191" t="s">
        <v>15</v>
      </c>
      <c r="F191">
        <v>2</v>
      </c>
      <c r="G191" s="1">
        <v>1101577</v>
      </c>
      <c r="H191" s="1">
        <v>2203154</v>
      </c>
      <c r="I191" t="s">
        <v>509</v>
      </c>
      <c r="J191" t="s">
        <v>17</v>
      </c>
      <c r="K191" t="s">
        <v>29</v>
      </c>
      <c r="L191" t="str">
        <f t="shared" si="2"/>
        <v>High</v>
      </c>
    </row>
    <row r="192" spans="1:12" x14ac:dyDescent="0.3">
      <c r="A192" t="s">
        <v>749</v>
      </c>
      <c r="B192" t="s">
        <v>750</v>
      </c>
      <c r="C192" t="s">
        <v>751</v>
      </c>
      <c r="D192" t="s">
        <v>123</v>
      </c>
      <c r="E192" t="s">
        <v>163</v>
      </c>
      <c r="F192">
        <v>3</v>
      </c>
      <c r="G192" s="1">
        <v>460131</v>
      </c>
      <c r="H192" s="1">
        <v>1380393</v>
      </c>
      <c r="I192" t="s">
        <v>443</v>
      </c>
      <c r="J192" t="s">
        <v>17</v>
      </c>
      <c r="K192" t="s">
        <v>46</v>
      </c>
      <c r="L192" t="str">
        <f t="shared" si="2"/>
        <v>Medium</v>
      </c>
    </row>
    <row r="193" spans="1:12" x14ac:dyDescent="0.3">
      <c r="A193" t="s">
        <v>752</v>
      </c>
      <c r="B193" t="s">
        <v>753</v>
      </c>
      <c r="C193" t="s">
        <v>754</v>
      </c>
      <c r="D193" t="s">
        <v>50</v>
      </c>
      <c r="E193" t="s">
        <v>74</v>
      </c>
      <c r="F193">
        <v>4</v>
      </c>
      <c r="G193" s="1">
        <v>181111</v>
      </c>
      <c r="H193" s="1">
        <v>724444</v>
      </c>
      <c r="I193" t="s">
        <v>755</v>
      </c>
      <c r="J193" t="s">
        <v>23</v>
      </c>
      <c r="K193" t="s">
        <v>29</v>
      </c>
      <c r="L193" t="str">
        <f t="shared" si="2"/>
        <v>Medium</v>
      </c>
    </row>
    <row r="194" spans="1:12" x14ac:dyDescent="0.3">
      <c r="A194" t="s">
        <v>756</v>
      </c>
      <c r="B194" t="s">
        <v>757</v>
      </c>
      <c r="C194" t="s">
        <v>758</v>
      </c>
      <c r="D194" t="s">
        <v>27</v>
      </c>
      <c r="E194" t="s">
        <v>74</v>
      </c>
      <c r="F194">
        <v>1</v>
      </c>
      <c r="G194" s="1">
        <v>528533</v>
      </c>
      <c r="H194" s="1">
        <v>528533</v>
      </c>
      <c r="I194" t="s">
        <v>759</v>
      </c>
      <c r="J194" t="s">
        <v>17</v>
      </c>
      <c r="K194" t="s">
        <v>18</v>
      </c>
      <c r="L194" t="str">
        <f t="shared" si="2"/>
        <v>Medium</v>
      </c>
    </row>
    <row r="195" spans="1:12" x14ac:dyDescent="0.3">
      <c r="A195" t="s">
        <v>760</v>
      </c>
      <c r="B195" t="s">
        <v>761</v>
      </c>
      <c r="C195" t="s">
        <v>762</v>
      </c>
      <c r="D195" t="s">
        <v>123</v>
      </c>
      <c r="E195" t="s">
        <v>34</v>
      </c>
      <c r="F195">
        <v>3</v>
      </c>
      <c r="G195" s="1">
        <v>687879</v>
      </c>
      <c r="H195" s="1">
        <v>2063637</v>
      </c>
      <c r="I195" t="s">
        <v>763</v>
      </c>
      <c r="J195" t="s">
        <v>23</v>
      </c>
      <c r="K195" t="s">
        <v>29</v>
      </c>
      <c r="L195" t="str">
        <f t="shared" ref="L195:L258" si="3">IF(H195&gt;2000000,"High",IF(H195&gt;500000,"Medium","Low"))</f>
        <v>High</v>
      </c>
    </row>
    <row r="196" spans="1:12" x14ac:dyDescent="0.3">
      <c r="A196" t="s">
        <v>764</v>
      </c>
      <c r="B196" t="s">
        <v>765</v>
      </c>
      <c r="C196" t="s">
        <v>766</v>
      </c>
      <c r="D196" t="s">
        <v>64</v>
      </c>
      <c r="E196" t="s">
        <v>163</v>
      </c>
      <c r="F196">
        <v>3</v>
      </c>
      <c r="G196" s="1">
        <v>1194183</v>
      </c>
      <c r="H196" s="1">
        <v>3582549</v>
      </c>
      <c r="I196" t="s">
        <v>87</v>
      </c>
      <c r="J196" t="s">
        <v>17</v>
      </c>
      <c r="K196" t="s">
        <v>46</v>
      </c>
      <c r="L196" t="str">
        <f t="shared" si="3"/>
        <v>High</v>
      </c>
    </row>
    <row r="197" spans="1:12" x14ac:dyDescent="0.3">
      <c r="A197" t="s">
        <v>767</v>
      </c>
      <c r="B197" t="s">
        <v>768</v>
      </c>
      <c r="C197" t="s">
        <v>769</v>
      </c>
      <c r="D197" t="s">
        <v>14</v>
      </c>
      <c r="E197" t="s">
        <v>55</v>
      </c>
      <c r="F197">
        <v>1</v>
      </c>
      <c r="G197" s="1">
        <v>140992</v>
      </c>
      <c r="H197" s="1">
        <v>140992</v>
      </c>
      <c r="I197" t="s">
        <v>770</v>
      </c>
      <c r="J197" t="s">
        <v>17</v>
      </c>
      <c r="K197" t="s">
        <v>18</v>
      </c>
      <c r="L197" t="str">
        <f t="shared" si="3"/>
        <v>Low</v>
      </c>
    </row>
    <row r="198" spans="1:12" x14ac:dyDescent="0.3">
      <c r="A198" t="s">
        <v>771</v>
      </c>
      <c r="B198" t="s">
        <v>772</v>
      </c>
      <c r="C198" t="s">
        <v>773</v>
      </c>
      <c r="D198" t="s">
        <v>27</v>
      </c>
      <c r="E198" t="s">
        <v>74</v>
      </c>
      <c r="F198">
        <v>1</v>
      </c>
      <c r="G198" s="1">
        <v>1479202</v>
      </c>
      <c r="H198" s="1">
        <v>1479202</v>
      </c>
      <c r="I198" t="s">
        <v>35</v>
      </c>
      <c r="J198" t="s">
        <v>23</v>
      </c>
      <c r="K198" t="s">
        <v>18</v>
      </c>
      <c r="L198" t="str">
        <f t="shared" si="3"/>
        <v>Medium</v>
      </c>
    </row>
    <row r="199" spans="1:12" x14ac:dyDescent="0.3">
      <c r="A199" t="s">
        <v>774</v>
      </c>
      <c r="B199" t="s">
        <v>775</v>
      </c>
      <c r="C199" t="s">
        <v>776</v>
      </c>
      <c r="D199" t="s">
        <v>64</v>
      </c>
      <c r="E199" t="s">
        <v>69</v>
      </c>
      <c r="F199">
        <v>4</v>
      </c>
      <c r="G199" s="1">
        <v>1489951</v>
      </c>
      <c r="H199" s="1">
        <v>5959804</v>
      </c>
      <c r="I199" t="s">
        <v>777</v>
      </c>
      <c r="J199" t="s">
        <v>17</v>
      </c>
      <c r="K199" t="s">
        <v>29</v>
      </c>
      <c r="L199" t="str">
        <f t="shared" si="3"/>
        <v>High</v>
      </c>
    </row>
    <row r="200" spans="1:12" x14ac:dyDescent="0.3">
      <c r="A200" t="s">
        <v>778</v>
      </c>
      <c r="B200" t="s">
        <v>779</v>
      </c>
      <c r="C200" t="s">
        <v>780</v>
      </c>
      <c r="D200" t="s">
        <v>64</v>
      </c>
      <c r="E200" t="s">
        <v>69</v>
      </c>
      <c r="F200">
        <v>1</v>
      </c>
      <c r="G200" s="1">
        <v>1128018</v>
      </c>
      <c r="H200" s="1">
        <v>1128018</v>
      </c>
      <c r="I200" t="s">
        <v>483</v>
      </c>
      <c r="J200" t="s">
        <v>23</v>
      </c>
      <c r="K200" t="s">
        <v>18</v>
      </c>
      <c r="L200" t="str">
        <f t="shared" si="3"/>
        <v>Medium</v>
      </c>
    </row>
    <row r="201" spans="1:12" x14ac:dyDescent="0.3">
      <c r="A201" t="s">
        <v>781</v>
      </c>
      <c r="B201" t="s">
        <v>782</v>
      </c>
      <c r="C201" t="s">
        <v>783</v>
      </c>
      <c r="D201" t="s">
        <v>33</v>
      </c>
      <c r="E201" t="s">
        <v>55</v>
      </c>
      <c r="F201">
        <v>4</v>
      </c>
      <c r="G201" s="1">
        <v>946218</v>
      </c>
      <c r="H201" s="1">
        <v>3784872</v>
      </c>
      <c r="I201" t="s">
        <v>501</v>
      </c>
      <c r="J201" t="s">
        <v>23</v>
      </c>
      <c r="K201" t="s">
        <v>46</v>
      </c>
      <c r="L201" t="str">
        <f t="shared" si="3"/>
        <v>High</v>
      </c>
    </row>
    <row r="202" spans="1:12" x14ac:dyDescent="0.3">
      <c r="A202" t="s">
        <v>784</v>
      </c>
      <c r="B202" t="s">
        <v>785</v>
      </c>
      <c r="C202" t="s">
        <v>786</v>
      </c>
      <c r="D202" t="s">
        <v>50</v>
      </c>
      <c r="E202" t="s">
        <v>74</v>
      </c>
      <c r="F202">
        <v>5</v>
      </c>
      <c r="G202" s="1">
        <v>1072479</v>
      </c>
      <c r="H202" s="1">
        <v>5362395</v>
      </c>
      <c r="I202" t="s">
        <v>787</v>
      </c>
      <c r="J202" t="s">
        <v>23</v>
      </c>
      <c r="K202" t="s">
        <v>46</v>
      </c>
      <c r="L202" t="str">
        <f t="shared" si="3"/>
        <v>High</v>
      </c>
    </row>
    <row r="203" spans="1:12" x14ac:dyDescent="0.3">
      <c r="A203" t="s">
        <v>788</v>
      </c>
      <c r="B203" t="s">
        <v>789</v>
      </c>
      <c r="C203" t="s">
        <v>790</v>
      </c>
      <c r="D203" t="s">
        <v>50</v>
      </c>
      <c r="E203" t="s">
        <v>74</v>
      </c>
      <c r="F203">
        <v>3</v>
      </c>
      <c r="G203" s="1">
        <v>134603</v>
      </c>
      <c r="H203" s="1">
        <v>403809</v>
      </c>
      <c r="I203" t="s">
        <v>460</v>
      </c>
      <c r="J203" t="s">
        <v>23</v>
      </c>
      <c r="K203" t="s">
        <v>29</v>
      </c>
      <c r="L203" t="str">
        <f t="shared" si="3"/>
        <v>Low</v>
      </c>
    </row>
    <row r="204" spans="1:12" x14ac:dyDescent="0.3">
      <c r="A204" t="s">
        <v>791</v>
      </c>
      <c r="B204" t="s">
        <v>792</v>
      </c>
      <c r="C204" t="s">
        <v>793</v>
      </c>
      <c r="D204" t="s">
        <v>64</v>
      </c>
      <c r="E204" t="s">
        <v>163</v>
      </c>
      <c r="F204">
        <v>3</v>
      </c>
      <c r="G204" s="1">
        <v>102313</v>
      </c>
      <c r="H204" s="1">
        <v>306939</v>
      </c>
      <c r="I204" t="s">
        <v>794</v>
      </c>
      <c r="J204" t="s">
        <v>17</v>
      </c>
      <c r="K204" t="s">
        <v>18</v>
      </c>
      <c r="L204" t="str">
        <f t="shared" si="3"/>
        <v>Low</v>
      </c>
    </row>
    <row r="205" spans="1:12" x14ac:dyDescent="0.3">
      <c r="A205" t="s">
        <v>795</v>
      </c>
      <c r="B205" t="s">
        <v>796</v>
      </c>
      <c r="C205" t="s">
        <v>797</v>
      </c>
      <c r="D205" t="s">
        <v>33</v>
      </c>
      <c r="E205" t="s">
        <v>55</v>
      </c>
      <c r="F205">
        <v>2</v>
      </c>
      <c r="G205" s="1">
        <v>1152264</v>
      </c>
      <c r="H205" s="1">
        <v>2304528</v>
      </c>
      <c r="I205" t="s">
        <v>798</v>
      </c>
      <c r="J205" t="s">
        <v>23</v>
      </c>
      <c r="K205" t="s">
        <v>29</v>
      </c>
      <c r="L205" t="str">
        <f t="shared" si="3"/>
        <v>High</v>
      </c>
    </row>
    <row r="206" spans="1:12" x14ac:dyDescent="0.3">
      <c r="A206" t="s">
        <v>799</v>
      </c>
      <c r="B206" t="s">
        <v>800</v>
      </c>
      <c r="C206" t="s">
        <v>801</v>
      </c>
      <c r="D206" t="s">
        <v>39</v>
      </c>
      <c r="E206" t="s">
        <v>55</v>
      </c>
      <c r="F206">
        <v>2</v>
      </c>
      <c r="G206" s="1">
        <v>369757</v>
      </c>
      <c r="H206" s="1">
        <v>739514</v>
      </c>
      <c r="I206" t="s">
        <v>802</v>
      </c>
      <c r="J206" t="s">
        <v>23</v>
      </c>
      <c r="K206" t="s">
        <v>46</v>
      </c>
      <c r="L206" t="str">
        <f t="shared" si="3"/>
        <v>Medium</v>
      </c>
    </row>
    <row r="207" spans="1:12" x14ac:dyDescent="0.3">
      <c r="A207" t="s">
        <v>803</v>
      </c>
      <c r="B207" t="s">
        <v>804</v>
      </c>
      <c r="C207" t="s">
        <v>805</v>
      </c>
      <c r="D207" t="s">
        <v>27</v>
      </c>
      <c r="E207" t="s">
        <v>55</v>
      </c>
      <c r="F207">
        <v>3</v>
      </c>
      <c r="G207" s="1">
        <v>83138</v>
      </c>
      <c r="H207" s="1">
        <v>249414</v>
      </c>
      <c r="I207" t="s">
        <v>239</v>
      </c>
      <c r="J207" t="s">
        <v>17</v>
      </c>
      <c r="K207" t="s">
        <v>18</v>
      </c>
      <c r="L207" t="str">
        <f t="shared" si="3"/>
        <v>Low</v>
      </c>
    </row>
    <row r="208" spans="1:12" x14ac:dyDescent="0.3">
      <c r="A208" t="s">
        <v>806</v>
      </c>
      <c r="B208" t="s">
        <v>807</v>
      </c>
      <c r="C208" t="s">
        <v>808</v>
      </c>
      <c r="D208" t="s">
        <v>50</v>
      </c>
      <c r="E208" t="s">
        <v>163</v>
      </c>
      <c r="F208">
        <v>5</v>
      </c>
      <c r="G208" s="1">
        <v>939854</v>
      </c>
      <c r="H208" s="1">
        <v>4699270</v>
      </c>
      <c r="I208" t="s">
        <v>809</v>
      </c>
      <c r="J208" t="s">
        <v>17</v>
      </c>
      <c r="K208" t="s">
        <v>29</v>
      </c>
      <c r="L208" t="str">
        <f t="shared" si="3"/>
        <v>High</v>
      </c>
    </row>
    <row r="209" spans="1:12" x14ac:dyDescent="0.3">
      <c r="A209" t="s">
        <v>810</v>
      </c>
      <c r="B209" t="s">
        <v>811</v>
      </c>
      <c r="C209" t="s">
        <v>812</v>
      </c>
      <c r="D209" t="s">
        <v>14</v>
      </c>
      <c r="E209" t="s">
        <v>163</v>
      </c>
      <c r="F209">
        <v>2</v>
      </c>
      <c r="G209" s="1">
        <v>475387</v>
      </c>
      <c r="H209" s="1">
        <v>950774</v>
      </c>
      <c r="I209" t="s">
        <v>813</v>
      </c>
      <c r="J209" t="s">
        <v>17</v>
      </c>
      <c r="K209" t="s">
        <v>46</v>
      </c>
      <c r="L209" t="str">
        <f t="shared" si="3"/>
        <v>Medium</v>
      </c>
    </row>
    <row r="210" spans="1:12" x14ac:dyDescent="0.3">
      <c r="A210" t="s">
        <v>814</v>
      </c>
      <c r="B210" t="s">
        <v>815</v>
      </c>
      <c r="C210" t="s">
        <v>816</v>
      </c>
      <c r="D210" t="s">
        <v>33</v>
      </c>
      <c r="E210" t="s">
        <v>40</v>
      </c>
      <c r="F210">
        <v>2</v>
      </c>
      <c r="G210" s="1">
        <v>1210304</v>
      </c>
      <c r="H210" s="1">
        <v>2420608</v>
      </c>
      <c r="I210" t="s">
        <v>99</v>
      </c>
      <c r="J210" t="s">
        <v>17</v>
      </c>
      <c r="K210" t="s">
        <v>18</v>
      </c>
      <c r="L210" t="str">
        <f t="shared" si="3"/>
        <v>High</v>
      </c>
    </row>
    <row r="211" spans="1:12" x14ac:dyDescent="0.3">
      <c r="A211" t="s">
        <v>817</v>
      </c>
      <c r="B211" t="s">
        <v>818</v>
      </c>
      <c r="C211" t="s">
        <v>819</v>
      </c>
      <c r="D211" t="s">
        <v>39</v>
      </c>
      <c r="E211" t="s">
        <v>55</v>
      </c>
      <c r="F211">
        <v>4</v>
      </c>
      <c r="G211" s="1">
        <v>1047213</v>
      </c>
      <c r="H211" s="1">
        <v>4188852</v>
      </c>
      <c r="I211" t="s">
        <v>159</v>
      </c>
      <c r="J211" t="s">
        <v>23</v>
      </c>
      <c r="K211" t="s">
        <v>29</v>
      </c>
      <c r="L211" t="str">
        <f t="shared" si="3"/>
        <v>High</v>
      </c>
    </row>
    <row r="212" spans="1:12" x14ac:dyDescent="0.3">
      <c r="A212" t="s">
        <v>820</v>
      </c>
      <c r="B212" t="s">
        <v>821</v>
      </c>
      <c r="C212" t="s">
        <v>822</v>
      </c>
      <c r="D212" t="s">
        <v>27</v>
      </c>
      <c r="E212" t="s">
        <v>163</v>
      </c>
      <c r="F212">
        <v>2</v>
      </c>
      <c r="G212" s="1">
        <v>176211</v>
      </c>
      <c r="H212" s="1">
        <v>352422</v>
      </c>
      <c r="I212" t="s">
        <v>823</v>
      </c>
      <c r="J212" t="s">
        <v>17</v>
      </c>
      <c r="K212" t="s">
        <v>29</v>
      </c>
      <c r="L212" t="str">
        <f t="shared" si="3"/>
        <v>Low</v>
      </c>
    </row>
    <row r="213" spans="1:12" x14ac:dyDescent="0.3">
      <c r="A213" t="s">
        <v>824</v>
      </c>
      <c r="B213" t="s">
        <v>825</v>
      </c>
      <c r="C213" t="s">
        <v>826</v>
      </c>
      <c r="D213" t="s">
        <v>33</v>
      </c>
      <c r="E213" t="s">
        <v>55</v>
      </c>
      <c r="F213">
        <v>4</v>
      </c>
      <c r="G213" s="1">
        <v>1387241</v>
      </c>
      <c r="H213" s="1">
        <v>5548964</v>
      </c>
      <c r="I213" t="s">
        <v>705</v>
      </c>
      <c r="J213" t="s">
        <v>23</v>
      </c>
      <c r="K213" t="s">
        <v>46</v>
      </c>
      <c r="L213" t="str">
        <f t="shared" si="3"/>
        <v>High</v>
      </c>
    </row>
    <row r="214" spans="1:12" x14ac:dyDescent="0.3">
      <c r="A214" t="s">
        <v>827</v>
      </c>
      <c r="B214" t="s">
        <v>828</v>
      </c>
      <c r="C214" t="s">
        <v>829</v>
      </c>
      <c r="D214" t="s">
        <v>33</v>
      </c>
      <c r="E214" t="s">
        <v>69</v>
      </c>
      <c r="F214">
        <v>3</v>
      </c>
      <c r="G214" s="1">
        <v>62461</v>
      </c>
      <c r="H214" s="1">
        <v>187383</v>
      </c>
      <c r="I214" t="s">
        <v>284</v>
      </c>
      <c r="J214" t="s">
        <v>17</v>
      </c>
      <c r="K214" t="s">
        <v>29</v>
      </c>
      <c r="L214" t="str">
        <f t="shared" si="3"/>
        <v>Low</v>
      </c>
    </row>
    <row r="215" spans="1:12" x14ac:dyDescent="0.3">
      <c r="A215" t="s">
        <v>830</v>
      </c>
      <c r="B215" t="s">
        <v>831</v>
      </c>
      <c r="C215" t="s">
        <v>832</v>
      </c>
      <c r="D215" t="s">
        <v>33</v>
      </c>
      <c r="E215" t="s">
        <v>74</v>
      </c>
      <c r="F215">
        <v>3</v>
      </c>
      <c r="G215" s="1">
        <v>370049</v>
      </c>
      <c r="H215" s="1">
        <v>1110147</v>
      </c>
      <c r="I215" t="s">
        <v>833</v>
      </c>
      <c r="J215" t="s">
        <v>23</v>
      </c>
      <c r="K215" t="s">
        <v>18</v>
      </c>
      <c r="L215" t="str">
        <f t="shared" si="3"/>
        <v>Medium</v>
      </c>
    </row>
    <row r="216" spans="1:12" x14ac:dyDescent="0.3">
      <c r="A216" t="s">
        <v>834</v>
      </c>
      <c r="B216" t="s">
        <v>835</v>
      </c>
      <c r="C216" t="s">
        <v>836</v>
      </c>
      <c r="D216" t="s">
        <v>14</v>
      </c>
      <c r="E216" t="s">
        <v>55</v>
      </c>
      <c r="F216">
        <v>1</v>
      </c>
      <c r="G216" s="1">
        <v>237594</v>
      </c>
      <c r="H216" s="1">
        <v>237594</v>
      </c>
      <c r="I216" t="s">
        <v>685</v>
      </c>
      <c r="J216" t="s">
        <v>17</v>
      </c>
      <c r="K216" t="s">
        <v>29</v>
      </c>
      <c r="L216" t="str">
        <f t="shared" si="3"/>
        <v>Low</v>
      </c>
    </row>
    <row r="217" spans="1:12" x14ac:dyDescent="0.3">
      <c r="A217" t="s">
        <v>837</v>
      </c>
      <c r="B217" t="s">
        <v>838</v>
      </c>
      <c r="C217" t="s">
        <v>839</v>
      </c>
      <c r="D217" t="s">
        <v>50</v>
      </c>
      <c r="E217" t="s">
        <v>69</v>
      </c>
      <c r="F217">
        <v>4</v>
      </c>
      <c r="G217" s="1">
        <v>290418</v>
      </c>
      <c r="H217" s="1">
        <v>1161672</v>
      </c>
      <c r="I217" t="s">
        <v>677</v>
      </c>
      <c r="J217" t="s">
        <v>17</v>
      </c>
      <c r="K217" t="s">
        <v>46</v>
      </c>
      <c r="L217" t="str">
        <f t="shared" si="3"/>
        <v>Medium</v>
      </c>
    </row>
    <row r="218" spans="1:12" x14ac:dyDescent="0.3">
      <c r="A218" t="s">
        <v>840</v>
      </c>
      <c r="B218" t="s">
        <v>841</v>
      </c>
      <c r="C218" t="s">
        <v>842</v>
      </c>
      <c r="D218" t="s">
        <v>33</v>
      </c>
      <c r="E218" t="s">
        <v>74</v>
      </c>
      <c r="F218">
        <v>3</v>
      </c>
      <c r="G218" s="1">
        <v>85141</v>
      </c>
      <c r="H218" s="1">
        <v>255423</v>
      </c>
      <c r="I218" t="s">
        <v>843</v>
      </c>
      <c r="J218" t="s">
        <v>23</v>
      </c>
      <c r="K218" t="s">
        <v>46</v>
      </c>
      <c r="L218" t="str">
        <f t="shared" si="3"/>
        <v>Low</v>
      </c>
    </row>
    <row r="219" spans="1:12" x14ac:dyDescent="0.3">
      <c r="A219" t="s">
        <v>844</v>
      </c>
      <c r="B219" t="s">
        <v>845</v>
      </c>
      <c r="C219" t="s">
        <v>846</v>
      </c>
      <c r="D219" t="s">
        <v>50</v>
      </c>
      <c r="E219" t="s">
        <v>74</v>
      </c>
      <c r="F219">
        <v>3</v>
      </c>
      <c r="G219" s="1">
        <v>911140</v>
      </c>
      <c r="H219" s="1">
        <v>2733420</v>
      </c>
      <c r="I219" t="s">
        <v>847</v>
      </c>
      <c r="J219" t="s">
        <v>17</v>
      </c>
      <c r="K219" t="s">
        <v>29</v>
      </c>
      <c r="L219" t="str">
        <f t="shared" si="3"/>
        <v>High</v>
      </c>
    </row>
    <row r="220" spans="1:12" x14ac:dyDescent="0.3">
      <c r="A220" t="s">
        <v>848</v>
      </c>
      <c r="B220" t="s">
        <v>849</v>
      </c>
      <c r="C220" t="s">
        <v>850</v>
      </c>
      <c r="D220" t="s">
        <v>33</v>
      </c>
      <c r="E220" t="s">
        <v>69</v>
      </c>
      <c r="F220">
        <v>4</v>
      </c>
      <c r="G220" s="1">
        <v>488311</v>
      </c>
      <c r="H220" s="1">
        <v>1953244</v>
      </c>
      <c r="I220" t="s">
        <v>571</v>
      </c>
      <c r="J220" t="s">
        <v>23</v>
      </c>
      <c r="K220" t="s">
        <v>18</v>
      </c>
      <c r="L220" t="str">
        <f t="shared" si="3"/>
        <v>Medium</v>
      </c>
    </row>
    <row r="221" spans="1:12" x14ac:dyDescent="0.3">
      <c r="A221" t="s">
        <v>851</v>
      </c>
      <c r="B221" t="s">
        <v>852</v>
      </c>
      <c r="C221" t="s">
        <v>853</v>
      </c>
      <c r="D221" t="s">
        <v>33</v>
      </c>
      <c r="E221" t="s">
        <v>74</v>
      </c>
      <c r="F221">
        <v>5</v>
      </c>
      <c r="G221" s="1">
        <v>731621</v>
      </c>
      <c r="H221" s="1">
        <v>3658105</v>
      </c>
      <c r="I221" t="s">
        <v>854</v>
      </c>
      <c r="J221" t="s">
        <v>17</v>
      </c>
      <c r="K221" t="s">
        <v>46</v>
      </c>
      <c r="L221" t="str">
        <f t="shared" si="3"/>
        <v>High</v>
      </c>
    </row>
    <row r="222" spans="1:12" x14ac:dyDescent="0.3">
      <c r="A222" t="s">
        <v>855</v>
      </c>
      <c r="B222" t="s">
        <v>856</v>
      </c>
      <c r="C222" t="s">
        <v>857</v>
      </c>
      <c r="D222" t="s">
        <v>39</v>
      </c>
      <c r="E222" t="s">
        <v>34</v>
      </c>
      <c r="F222">
        <v>2</v>
      </c>
      <c r="G222" s="1">
        <v>457417</v>
      </c>
      <c r="H222" s="1">
        <v>914834</v>
      </c>
      <c r="I222" t="s">
        <v>858</v>
      </c>
      <c r="J222" t="s">
        <v>17</v>
      </c>
      <c r="K222" t="s">
        <v>46</v>
      </c>
      <c r="L222" t="str">
        <f t="shared" si="3"/>
        <v>Medium</v>
      </c>
    </row>
    <row r="223" spans="1:12" x14ac:dyDescent="0.3">
      <c r="A223" t="s">
        <v>859</v>
      </c>
      <c r="B223" t="s">
        <v>860</v>
      </c>
      <c r="C223" t="s">
        <v>861</v>
      </c>
      <c r="D223" t="s">
        <v>33</v>
      </c>
      <c r="E223" t="s">
        <v>34</v>
      </c>
      <c r="F223">
        <v>1</v>
      </c>
      <c r="G223" s="1">
        <v>1016979</v>
      </c>
      <c r="H223" s="1">
        <v>1016979</v>
      </c>
      <c r="I223" t="s">
        <v>603</v>
      </c>
      <c r="J223" t="s">
        <v>23</v>
      </c>
      <c r="K223" t="s">
        <v>18</v>
      </c>
      <c r="L223" t="str">
        <f t="shared" si="3"/>
        <v>Medium</v>
      </c>
    </row>
    <row r="224" spans="1:12" x14ac:dyDescent="0.3">
      <c r="A224" t="s">
        <v>862</v>
      </c>
      <c r="B224" t="s">
        <v>863</v>
      </c>
      <c r="C224" t="s">
        <v>864</v>
      </c>
      <c r="D224" t="s">
        <v>39</v>
      </c>
      <c r="E224" t="s">
        <v>34</v>
      </c>
      <c r="F224">
        <v>3</v>
      </c>
      <c r="G224" s="1">
        <v>986153</v>
      </c>
      <c r="H224" s="1">
        <v>2958459</v>
      </c>
      <c r="I224" t="s">
        <v>70</v>
      </c>
      <c r="J224" t="s">
        <v>17</v>
      </c>
      <c r="K224" t="s">
        <v>18</v>
      </c>
      <c r="L224" t="str">
        <f t="shared" si="3"/>
        <v>High</v>
      </c>
    </row>
    <row r="225" spans="1:12" x14ac:dyDescent="0.3">
      <c r="A225" t="s">
        <v>865</v>
      </c>
      <c r="B225" t="s">
        <v>866</v>
      </c>
      <c r="C225" t="s">
        <v>867</v>
      </c>
      <c r="D225" t="s">
        <v>39</v>
      </c>
      <c r="E225" t="s">
        <v>15</v>
      </c>
      <c r="F225">
        <v>2</v>
      </c>
      <c r="G225" s="1">
        <v>435811</v>
      </c>
      <c r="H225" s="1">
        <v>871622</v>
      </c>
      <c r="I225" t="s">
        <v>868</v>
      </c>
      <c r="J225" t="s">
        <v>17</v>
      </c>
      <c r="K225" t="s">
        <v>46</v>
      </c>
      <c r="L225" t="str">
        <f t="shared" si="3"/>
        <v>Medium</v>
      </c>
    </row>
    <row r="226" spans="1:12" x14ac:dyDescent="0.3">
      <c r="A226" t="s">
        <v>869</v>
      </c>
      <c r="B226" t="s">
        <v>870</v>
      </c>
      <c r="C226" t="s">
        <v>871</v>
      </c>
      <c r="D226" t="s">
        <v>27</v>
      </c>
      <c r="E226" t="s">
        <v>34</v>
      </c>
      <c r="F226">
        <v>1</v>
      </c>
      <c r="G226" s="1">
        <v>106888</v>
      </c>
      <c r="H226" s="1">
        <v>106888</v>
      </c>
      <c r="I226" t="s">
        <v>276</v>
      </c>
      <c r="J226" t="s">
        <v>17</v>
      </c>
      <c r="K226" t="s">
        <v>46</v>
      </c>
      <c r="L226" t="str">
        <f t="shared" si="3"/>
        <v>Low</v>
      </c>
    </row>
    <row r="227" spans="1:12" x14ac:dyDescent="0.3">
      <c r="A227" t="s">
        <v>872</v>
      </c>
      <c r="B227" t="s">
        <v>873</v>
      </c>
      <c r="C227" t="s">
        <v>874</v>
      </c>
      <c r="D227" t="s">
        <v>33</v>
      </c>
      <c r="E227" t="s">
        <v>74</v>
      </c>
      <c r="F227">
        <v>3</v>
      </c>
      <c r="G227" s="1">
        <v>445299</v>
      </c>
      <c r="H227" s="1">
        <v>1335897</v>
      </c>
      <c r="I227" t="s">
        <v>875</v>
      </c>
      <c r="J227" t="s">
        <v>17</v>
      </c>
      <c r="K227" t="s">
        <v>18</v>
      </c>
      <c r="L227" t="str">
        <f t="shared" si="3"/>
        <v>Medium</v>
      </c>
    </row>
    <row r="228" spans="1:12" x14ac:dyDescent="0.3">
      <c r="A228" t="s">
        <v>876</v>
      </c>
      <c r="B228" t="s">
        <v>877</v>
      </c>
      <c r="C228" t="s">
        <v>878</v>
      </c>
      <c r="D228" t="s">
        <v>39</v>
      </c>
      <c r="E228" t="s">
        <v>15</v>
      </c>
      <c r="F228">
        <v>5</v>
      </c>
      <c r="G228" s="1">
        <v>1352483</v>
      </c>
      <c r="H228" s="1">
        <v>6762415</v>
      </c>
      <c r="I228" t="s">
        <v>22</v>
      </c>
      <c r="J228" t="s">
        <v>23</v>
      </c>
      <c r="K228" t="s">
        <v>18</v>
      </c>
      <c r="L228" t="str">
        <f t="shared" si="3"/>
        <v>High</v>
      </c>
    </row>
    <row r="229" spans="1:12" x14ac:dyDescent="0.3">
      <c r="A229" t="s">
        <v>879</v>
      </c>
      <c r="B229" t="s">
        <v>880</v>
      </c>
      <c r="C229" t="s">
        <v>881</v>
      </c>
      <c r="D229" t="s">
        <v>27</v>
      </c>
      <c r="E229" t="s">
        <v>74</v>
      </c>
      <c r="F229">
        <v>2</v>
      </c>
      <c r="G229" s="1">
        <v>466873</v>
      </c>
      <c r="H229" s="1">
        <v>933746</v>
      </c>
      <c r="I229" t="s">
        <v>276</v>
      </c>
      <c r="J229" t="s">
        <v>23</v>
      </c>
      <c r="K229" t="s">
        <v>18</v>
      </c>
      <c r="L229" t="str">
        <f t="shared" si="3"/>
        <v>Medium</v>
      </c>
    </row>
    <row r="230" spans="1:12" x14ac:dyDescent="0.3">
      <c r="A230" t="s">
        <v>882</v>
      </c>
      <c r="B230" t="s">
        <v>883</v>
      </c>
      <c r="C230" t="s">
        <v>884</v>
      </c>
      <c r="D230" t="s">
        <v>14</v>
      </c>
      <c r="E230" t="s">
        <v>74</v>
      </c>
      <c r="F230">
        <v>2</v>
      </c>
      <c r="G230" s="1">
        <v>1447185</v>
      </c>
      <c r="H230" s="1">
        <v>2894370</v>
      </c>
      <c r="I230" t="s">
        <v>885</v>
      </c>
      <c r="J230" t="s">
        <v>17</v>
      </c>
      <c r="K230" t="s">
        <v>29</v>
      </c>
      <c r="L230" t="str">
        <f t="shared" si="3"/>
        <v>High</v>
      </c>
    </row>
    <row r="231" spans="1:12" x14ac:dyDescent="0.3">
      <c r="A231" t="s">
        <v>886</v>
      </c>
      <c r="B231" t="s">
        <v>887</v>
      </c>
      <c r="C231" t="s">
        <v>888</v>
      </c>
      <c r="D231" t="s">
        <v>123</v>
      </c>
      <c r="E231" t="s">
        <v>34</v>
      </c>
      <c r="F231">
        <v>5</v>
      </c>
      <c r="G231" s="1">
        <v>905440</v>
      </c>
      <c r="H231" s="1">
        <v>4527200</v>
      </c>
      <c r="I231" t="s">
        <v>490</v>
      </c>
      <c r="J231" t="s">
        <v>17</v>
      </c>
      <c r="K231" t="s">
        <v>18</v>
      </c>
      <c r="L231" t="str">
        <f t="shared" si="3"/>
        <v>High</v>
      </c>
    </row>
    <row r="232" spans="1:12" x14ac:dyDescent="0.3">
      <c r="A232" t="s">
        <v>889</v>
      </c>
      <c r="B232" t="s">
        <v>890</v>
      </c>
      <c r="C232" t="s">
        <v>891</v>
      </c>
      <c r="D232" t="s">
        <v>14</v>
      </c>
      <c r="E232" t="s">
        <v>15</v>
      </c>
      <c r="F232">
        <v>4</v>
      </c>
      <c r="G232" s="1">
        <v>692598</v>
      </c>
      <c r="H232" s="1">
        <v>2770392</v>
      </c>
      <c r="I232" t="s">
        <v>148</v>
      </c>
      <c r="J232" t="s">
        <v>17</v>
      </c>
      <c r="K232" t="s">
        <v>29</v>
      </c>
      <c r="L232" t="str">
        <f t="shared" si="3"/>
        <v>High</v>
      </c>
    </row>
    <row r="233" spans="1:12" x14ac:dyDescent="0.3">
      <c r="A233" t="s">
        <v>892</v>
      </c>
      <c r="B233" t="s">
        <v>893</v>
      </c>
      <c r="C233" t="s">
        <v>894</v>
      </c>
      <c r="D233" t="s">
        <v>50</v>
      </c>
      <c r="E233" t="s">
        <v>69</v>
      </c>
      <c r="F233">
        <v>5</v>
      </c>
      <c r="G233" s="1">
        <v>1067053</v>
      </c>
      <c r="H233" s="1">
        <v>5335265</v>
      </c>
      <c r="I233" t="s">
        <v>895</v>
      </c>
      <c r="J233" t="s">
        <v>17</v>
      </c>
      <c r="K233" t="s">
        <v>29</v>
      </c>
      <c r="L233" t="str">
        <f t="shared" si="3"/>
        <v>High</v>
      </c>
    </row>
    <row r="234" spans="1:12" x14ac:dyDescent="0.3">
      <c r="A234" t="s">
        <v>896</v>
      </c>
      <c r="B234" t="s">
        <v>897</v>
      </c>
      <c r="C234" t="s">
        <v>898</v>
      </c>
      <c r="D234" t="s">
        <v>39</v>
      </c>
      <c r="E234" t="s">
        <v>15</v>
      </c>
      <c r="F234">
        <v>3</v>
      </c>
      <c r="G234" s="1">
        <v>90812</v>
      </c>
      <c r="H234" s="1">
        <v>272436</v>
      </c>
      <c r="I234" t="s">
        <v>899</v>
      </c>
      <c r="J234" t="s">
        <v>23</v>
      </c>
      <c r="K234" t="s">
        <v>46</v>
      </c>
      <c r="L234" t="str">
        <f t="shared" si="3"/>
        <v>Low</v>
      </c>
    </row>
    <row r="235" spans="1:12" x14ac:dyDescent="0.3">
      <c r="A235" t="s">
        <v>900</v>
      </c>
      <c r="B235" t="s">
        <v>901</v>
      </c>
      <c r="C235" t="s">
        <v>902</v>
      </c>
      <c r="D235" t="s">
        <v>14</v>
      </c>
      <c r="E235" t="s">
        <v>40</v>
      </c>
      <c r="F235">
        <v>1</v>
      </c>
      <c r="G235" s="1">
        <v>1287706</v>
      </c>
      <c r="H235" s="1">
        <v>1287706</v>
      </c>
      <c r="I235" t="s">
        <v>276</v>
      </c>
      <c r="J235" t="s">
        <v>17</v>
      </c>
      <c r="K235" t="s">
        <v>18</v>
      </c>
      <c r="L235" t="str">
        <f t="shared" si="3"/>
        <v>Medium</v>
      </c>
    </row>
    <row r="236" spans="1:12" x14ac:dyDescent="0.3">
      <c r="A236" t="s">
        <v>903</v>
      </c>
      <c r="B236" t="s">
        <v>904</v>
      </c>
      <c r="C236" t="s">
        <v>905</v>
      </c>
      <c r="D236" t="s">
        <v>123</v>
      </c>
      <c r="E236" t="s">
        <v>55</v>
      </c>
      <c r="F236">
        <v>1</v>
      </c>
      <c r="G236" s="1">
        <v>650471</v>
      </c>
      <c r="H236" s="1">
        <v>650471</v>
      </c>
      <c r="I236" t="s">
        <v>906</v>
      </c>
      <c r="J236" t="s">
        <v>17</v>
      </c>
      <c r="K236" t="s">
        <v>46</v>
      </c>
      <c r="L236" t="str">
        <f t="shared" si="3"/>
        <v>Medium</v>
      </c>
    </row>
    <row r="237" spans="1:12" x14ac:dyDescent="0.3">
      <c r="A237" t="s">
        <v>907</v>
      </c>
      <c r="B237" t="s">
        <v>908</v>
      </c>
      <c r="C237" t="s">
        <v>909</v>
      </c>
      <c r="D237" t="s">
        <v>123</v>
      </c>
      <c r="E237" t="s">
        <v>55</v>
      </c>
      <c r="F237">
        <v>5</v>
      </c>
      <c r="G237" s="1">
        <v>1240315</v>
      </c>
      <c r="H237" s="1">
        <v>6201575</v>
      </c>
      <c r="I237" t="s">
        <v>910</v>
      </c>
      <c r="J237" t="s">
        <v>23</v>
      </c>
      <c r="K237" t="s">
        <v>29</v>
      </c>
      <c r="L237" t="str">
        <f t="shared" si="3"/>
        <v>High</v>
      </c>
    </row>
    <row r="238" spans="1:12" x14ac:dyDescent="0.3">
      <c r="A238" t="s">
        <v>911</v>
      </c>
      <c r="B238" t="s">
        <v>912</v>
      </c>
      <c r="C238" t="s">
        <v>913</v>
      </c>
      <c r="D238" t="s">
        <v>123</v>
      </c>
      <c r="E238" t="s">
        <v>74</v>
      </c>
      <c r="F238">
        <v>5</v>
      </c>
      <c r="G238" s="1">
        <v>378880</v>
      </c>
      <c r="H238" s="1">
        <v>1894400</v>
      </c>
      <c r="I238" t="s">
        <v>914</v>
      </c>
      <c r="J238" t="s">
        <v>23</v>
      </c>
      <c r="K238" t="s">
        <v>29</v>
      </c>
      <c r="L238" t="str">
        <f t="shared" si="3"/>
        <v>Medium</v>
      </c>
    </row>
    <row r="239" spans="1:12" x14ac:dyDescent="0.3">
      <c r="A239" t="s">
        <v>915</v>
      </c>
      <c r="B239" t="s">
        <v>916</v>
      </c>
      <c r="C239" t="s">
        <v>917</v>
      </c>
      <c r="D239" t="s">
        <v>27</v>
      </c>
      <c r="E239" t="s">
        <v>55</v>
      </c>
      <c r="F239">
        <v>5</v>
      </c>
      <c r="G239" s="1">
        <v>1383829</v>
      </c>
      <c r="H239" s="1">
        <v>6919145</v>
      </c>
      <c r="I239" t="s">
        <v>136</v>
      </c>
      <c r="J239" t="s">
        <v>23</v>
      </c>
      <c r="K239" t="s">
        <v>29</v>
      </c>
      <c r="L239" t="str">
        <f t="shared" si="3"/>
        <v>High</v>
      </c>
    </row>
    <row r="240" spans="1:12" x14ac:dyDescent="0.3">
      <c r="A240" t="s">
        <v>918</v>
      </c>
      <c r="B240" t="s">
        <v>919</v>
      </c>
      <c r="C240" t="s">
        <v>920</v>
      </c>
      <c r="D240" t="s">
        <v>123</v>
      </c>
      <c r="E240" t="s">
        <v>15</v>
      </c>
      <c r="F240">
        <v>3</v>
      </c>
      <c r="G240" s="1">
        <v>373934</v>
      </c>
      <c r="H240" s="1">
        <v>1121802</v>
      </c>
      <c r="I240" t="s">
        <v>592</v>
      </c>
      <c r="J240" t="s">
        <v>17</v>
      </c>
      <c r="K240" t="s">
        <v>29</v>
      </c>
      <c r="L240" t="str">
        <f t="shared" si="3"/>
        <v>Medium</v>
      </c>
    </row>
    <row r="241" spans="1:12" x14ac:dyDescent="0.3">
      <c r="A241" t="s">
        <v>921</v>
      </c>
      <c r="B241" t="s">
        <v>922</v>
      </c>
      <c r="C241" t="s">
        <v>923</v>
      </c>
      <c r="D241" t="s">
        <v>50</v>
      </c>
      <c r="E241" t="s">
        <v>74</v>
      </c>
      <c r="F241">
        <v>1</v>
      </c>
      <c r="G241" s="1">
        <v>72457</v>
      </c>
      <c r="H241" s="1">
        <v>72457</v>
      </c>
      <c r="I241" t="s">
        <v>374</v>
      </c>
      <c r="J241" t="s">
        <v>23</v>
      </c>
      <c r="K241" t="s">
        <v>46</v>
      </c>
      <c r="L241" t="str">
        <f t="shared" si="3"/>
        <v>Low</v>
      </c>
    </row>
    <row r="242" spans="1:12" x14ac:dyDescent="0.3">
      <c r="A242" t="s">
        <v>924</v>
      </c>
      <c r="B242" t="s">
        <v>925</v>
      </c>
      <c r="C242" t="s">
        <v>926</v>
      </c>
      <c r="D242" t="s">
        <v>33</v>
      </c>
      <c r="E242" t="s">
        <v>163</v>
      </c>
      <c r="F242">
        <v>3</v>
      </c>
      <c r="G242" s="1">
        <v>825850</v>
      </c>
      <c r="H242" s="1">
        <v>2477550</v>
      </c>
      <c r="I242" t="s">
        <v>759</v>
      </c>
      <c r="J242" t="s">
        <v>17</v>
      </c>
      <c r="K242" t="s">
        <v>18</v>
      </c>
      <c r="L242" t="str">
        <f t="shared" si="3"/>
        <v>High</v>
      </c>
    </row>
    <row r="243" spans="1:12" x14ac:dyDescent="0.3">
      <c r="A243" t="s">
        <v>927</v>
      </c>
      <c r="B243" t="s">
        <v>928</v>
      </c>
      <c r="C243" t="s">
        <v>929</v>
      </c>
      <c r="D243" t="s">
        <v>64</v>
      </c>
      <c r="E243" t="s">
        <v>55</v>
      </c>
      <c r="F243">
        <v>3</v>
      </c>
      <c r="G243" s="1">
        <v>233948</v>
      </c>
      <c r="H243" s="1">
        <v>701844</v>
      </c>
      <c r="I243" t="s">
        <v>930</v>
      </c>
      <c r="J243" t="s">
        <v>17</v>
      </c>
      <c r="K243" t="s">
        <v>29</v>
      </c>
      <c r="L243" t="str">
        <f t="shared" si="3"/>
        <v>Medium</v>
      </c>
    </row>
    <row r="244" spans="1:12" x14ac:dyDescent="0.3">
      <c r="A244" t="s">
        <v>931</v>
      </c>
      <c r="B244" t="s">
        <v>932</v>
      </c>
      <c r="C244" t="s">
        <v>933</v>
      </c>
      <c r="D244" t="s">
        <v>39</v>
      </c>
      <c r="E244" t="s">
        <v>69</v>
      </c>
      <c r="F244">
        <v>2</v>
      </c>
      <c r="G244" s="1">
        <v>650666</v>
      </c>
      <c r="H244" s="1">
        <v>1301332</v>
      </c>
      <c r="I244" t="s">
        <v>934</v>
      </c>
      <c r="J244" t="s">
        <v>17</v>
      </c>
      <c r="K244" t="s">
        <v>18</v>
      </c>
      <c r="L244" t="str">
        <f t="shared" si="3"/>
        <v>Medium</v>
      </c>
    </row>
    <row r="245" spans="1:12" x14ac:dyDescent="0.3">
      <c r="A245" t="s">
        <v>935</v>
      </c>
      <c r="B245" t="s">
        <v>936</v>
      </c>
      <c r="C245" t="s">
        <v>937</v>
      </c>
      <c r="D245" t="s">
        <v>50</v>
      </c>
      <c r="E245" t="s">
        <v>55</v>
      </c>
      <c r="F245">
        <v>5</v>
      </c>
      <c r="G245" s="1">
        <v>1386204</v>
      </c>
      <c r="H245" s="1">
        <v>6931020</v>
      </c>
      <c r="I245" t="s">
        <v>938</v>
      </c>
      <c r="J245" t="s">
        <v>23</v>
      </c>
      <c r="K245" t="s">
        <v>29</v>
      </c>
      <c r="L245" t="str">
        <f t="shared" si="3"/>
        <v>High</v>
      </c>
    </row>
    <row r="246" spans="1:12" x14ac:dyDescent="0.3">
      <c r="A246" t="s">
        <v>939</v>
      </c>
      <c r="B246" t="s">
        <v>940</v>
      </c>
      <c r="C246" t="s">
        <v>941</v>
      </c>
      <c r="D246" t="s">
        <v>123</v>
      </c>
      <c r="E246" t="s">
        <v>15</v>
      </c>
      <c r="F246">
        <v>5</v>
      </c>
      <c r="G246" s="1">
        <v>757116</v>
      </c>
      <c r="H246" s="1">
        <v>3785580</v>
      </c>
      <c r="I246" t="s">
        <v>398</v>
      </c>
      <c r="J246" t="s">
        <v>17</v>
      </c>
      <c r="K246" t="s">
        <v>18</v>
      </c>
      <c r="L246" t="str">
        <f t="shared" si="3"/>
        <v>High</v>
      </c>
    </row>
    <row r="247" spans="1:12" x14ac:dyDescent="0.3">
      <c r="A247" t="s">
        <v>942</v>
      </c>
      <c r="B247" t="s">
        <v>943</v>
      </c>
      <c r="C247" t="s">
        <v>944</v>
      </c>
      <c r="D247" t="s">
        <v>39</v>
      </c>
      <c r="E247" t="s">
        <v>55</v>
      </c>
      <c r="F247">
        <v>5</v>
      </c>
      <c r="G247" s="1">
        <v>758550</v>
      </c>
      <c r="H247" s="1">
        <v>3792750</v>
      </c>
      <c r="I247" t="s">
        <v>945</v>
      </c>
      <c r="J247" t="s">
        <v>23</v>
      </c>
      <c r="K247" t="s">
        <v>29</v>
      </c>
      <c r="L247" t="str">
        <f t="shared" si="3"/>
        <v>High</v>
      </c>
    </row>
    <row r="248" spans="1:12" x14ac:dyDescent="0.3">
      <c r="A248" t="s">
        <v>946</v>
      </c>
      <c r="B248" t="s">
        <v>947</v>
      </c>
      <c r="C248" t="s">
        <v>948</v>
      </c>
      <c r="D248" t="s">
        <v>123</v>
      </c>
      <c r="E248" t="s">
        <v>40</v>
      </c>
      <c r="F248">
        <v>5</v>
      </c>
      <c r="G248" s="1">
        <v>453752</v>
      </c>
      <c r="H248" s="1">
        <v>2268760</v>
      </c>
      <c r="I248" t="s">
        <v>637</v>
      </c>
      <c r="J248" t="s">
        <v>23</v>
      </c>
      <c r="K248" t="s">
        <v>18</v>
      </c>
      <c r="L248" t="str">
        <f t="shared" si="3"/>
        <v>High</v>
      </c>
    </row>
    <row r="249" spans="1:12" x14ac:dyDescent="0.3">
      <c r="A249" t="s">
        <v>949</v>
      </c>
      <c r="B249" t="s">
        <v>950</v>
      </c>
      <c r="C249" t="s">
        <v>951</v>
      </c>
      <c r="D249" t="s">
        <v>27</v>
      </c>
      <c r="E249" t="s">
        <v>69</v>
      </c>
      <c r="F249">
        <v>2</v>
      </c>
      <c r="G249" s="1">
        <v>1402595</v>
      </c>
      <c r="H249" s="1">
        <v>2805190</v>
      </c>
      <c r="I249" t="s">
        <v>868</v>
      </c>
      <c r="J249" t="s">
        <v>17</v>
      </c>
      <c r="K249" t="s">
        <v>46</v>
      </c>
      <c r="L249" t="str">
        <f t="shared" si="3"/>
        <v>High</v>
      </c>
    </row>
    <row r="250" spans="1:12" x14ac:dyDescent="0.3">
      <c r="A250" t="s">
        <v>952</v>
      </c>
      <c r="B250" t="s">
        <v>953</v>
      </c>
      <c r="C250" t="s">
        <v>954</v>
      </c>
      <c r="D250" t="s">
        <v>123</v>
      </c>
      <c r="E250" t="s">
        <v>74</v>
      </c>
      <c r="F250">
        <v>5</v>
      </c>
      <c r="G250" s="1">
        <v>1425682</v>
      </c>
      <c r="H250" s="1">
        <v>7128410</v>
      </c>
      <c r="I250" t="s">
        <v>955</v>
      </c>
      <c r="J250" t="s">
        <v>23</v>
      </c>
      <c r="K250" t="s">
        <v>18</v>
      </c>
      <c r="L250" t="str">
        <f t="shared" si="3"/>
        <v>High</v>
      </c>
    </row>
    <row r="251" spans="1:12" x14ac:dyDescent="0.3">
      <c r="A251" t="s">
        <v>956</v>
      </c>
      <c r="B251" t="s">
        <v>957</v>
      </c>
      <c r="C251" t="s">
        <v>958</v>
      </c>
      <c r="D251" t="s">
        <v>27</v>
      </c>
      <c r="E251" t="s">
        <v>163</v>
      </c>
      <c r="F251">
        <v>4</v>
      </c>
      <c r="G251" s="1">
        <v>538320</v>
      </c>
      <c r="H251" s="1">
        <v>2153280</v>
      </c>
      <c r="I251" t="s">
        <v>759</v>
      </c>
      <c r="J251" t="s">
        <v>17</v>
      </c>
      <c r="K251" t="s">
        <v>29</v>
      </c>
      <c r="L251" t="str">
        <f t="shared" si="3"/>
        <v>High</v>
      </c>
    </row>
    <row r="252" spans="1:12" x14ac:dyDescent="0.3">
      <c r="A252" t="s">
        <v>959</v>
      </c>
      <c r="B252" t="s">
        <v>960</v>
      </c>
      <c r="C252" t="s">
        <v>961</v>
      </c>
      <c r="D252" t="s">
        <v>33</v>
      </c>
      <c r="E252" t="s">
        <v>15</v>
      </c>
      <c r="F252">
        <v>1</v>
      </c>
      <c r="G252" s="1">
        <v>206033</v>
      </c>
      <c r="H252" s="1">
        <v>206033</v>
      </c>
      <c r="I252" t="s">
        <v>136</v>
      </c>
      <c r="J252" t="s">
        <v>17</v>
      </c>
      <c r="K252" t="s">
        <v>46</v>
      </c>
      <c r="L252" t="str">
        <f t="shared" si="3"/>
        <v>Low</v>
      </c>
    </row>
    <row r="253" spans="1:12" x14ac:dyDescent="0.3">
      <c r="A253" t="s">
        <v>962</v>
      </c>
      <c r="B253" t="s">
        <v>963</v>
      </c>
      <c r="C253" t="s">
        <v>964</v>
      </c>
      <c r="D253" t="s">
        <v>14</v>
      </c>
      <c r="E253" t="s">
        <v>163</v>
      </c>
      <c r="F253">
        <v>3</v>
      </c>
      <c r="G253" s="1">
        <v>165725</v>
      </c>
      <c r="H253" s="1">
        <v>497175</v>
      </c>
      <c r="I253" t="s">
        <v>965</v>
      </c>
      <c r="J253" t="s">
        <v>17</v>
      </c>
      <c r="K253" t="s">
        <v>18</v>
      </c>
      <c r="L253" t="str">
        <f t="shared" si="3"/>
        <v>Low</v>
      </c>
    </row>
    <row r="254" spans="1:12" x14ac:dyDescent="0.3">
      <c r="A254" t="s">
        <v>966</v>
      </c>
      <c r="B254" t="s">
        <v>967</v>
      </c>
      <c r="C254" t="s">
        <v>968</v>
      </c>
      <c r="D254" t="s">
        <v>27</v>
      </c>
      <c r="E254" t="s">
        <v>74</v>
      </c>
      <c r="F254">
        <v>3</v>
      </c>
      <c r="G254" s="1">
        <v>387928</v>
      </c>
      <c r="H254" s="1">
        <v>1163784</v>
      </c>
      <c r="I254" t="s">
        <v>969</v>
      </c>
      <c r="J254" t="s">
        <v>17</v>
      </c>
      <c r="K254" t="s">
        <v>18</v>
      </c>
      <c r="L254" t="str">
        <f t="shared" si="3"/>
        <v>Medium</v>
      </c>
    </row>
    <row r="255" spans="1:12" x14ac:dyDescent="0.3">
      <c r="A255" t="s">
        <v>970</v>
      </c>
      <c r="B255" t="s">
        <v>971</v>
      </c>
      <c r="C255" t="s">
        <v>972</v>
      </c>
      <c r="D255" t="s">
        <v>33</v>
      </c>
      <c r="E255" t="s">
        <v>40</v>
      </c>
      <c r="F255">
        <v>2</v>
      </c>
      <c r="G255" s="1">
        <v>236432</v>
      </c>
      <c r="H255" s="1">
        <v>472864</v>
      </c>
      <c r="I255" t="s">
        <v>973</v>
      </c>
      <c r="J255" t="s">
        <v>23</v>
      </c>
      <c r="K255" t="s">
        <v>18</v>
      </c>
      <c r="L255" t="str">
        <f t="shared" si="3"/>
        <v>Low</v>
      </c>
    </row>
    <row r="256" spans="1:12" x14ac:dyDescent="0.3">
      <c r="A256" t="s">
        <v>974</v>
      </c>
      <c r="B256" t="s">
        <v>975</v>
      </c>
      <c r="C256" t="s">
        <v>976</v>
      </c>
      <c r="D256" t="s">
        <v>39</v>
      </c>
      <c r="E256" t="s">
        <v>69</v>
      </c>
      <c r="F256">
        <v>4</v>
      </c>
      <c r="G256" s="1">
        <v>864265</v>
      </c>
      <c r="H256" s="1">
        <v>3457060</v>
      </c>
      <c r="I256" t="s">
        <v>647</v>
      </c>
      <c r="J256" t="s">
        <v>23</v>
      </c>
      <c r="K256" t="s">
        <v>18</v>
      </c>
      <c r="L256" t="str">
        <f t="shared" si="3"/>
        <v>High</v>
      </c>
    </row>
    <row r="257" spans="1:12" x14ac:dyDescent="0.3">
      <c r="A257" t="s">
        <v>977</v>
      </c>
      <c r="B257" t="s">
        <v>978</v>
      </c>
      <c r="C257" t="s">
        <v>979</v>
      </c>
      <c r="D257" t="s">
        <v>123</v>
      </c>
      <c r="E257" t="s">
        <v>40</v>
      </c>
      <c r="F257">
        <v>2</v>
      </c>
      <c r="G257" s="1">
        <v>86537</v>
      </c>
      <c r="H257" s="1">
        <v>173074</v>
      </c>
      <c r="I257" t="s">
        <v>260</v>
      </c>
      <c r="J257" t="s">
        <v>23</v>
      </c>
      <c r="K257" t="s">
        <v>18</v>
      </c>
      <c r="L257" t="str">
        <f t="shared" si="3"/>
        <v>Low</v>
      </c>
    </row>
    <row r="258" spans="1:12" x14ac:dyDescent="0.3">
      <c r="A258" t="s">
        <v>980</v>
      </c>
      <c r="B258" t="s">
        <v>981</v>
      </c>
      <c r="C258" t="s">
        <v>982</v>
      </c>
      <c r="D258" t="s">
        <v>50</v>
      </c>
      <c r="E258" t="s">
        <v>69</v>
      </c>
      <c r="F258">
        <v>4</v>
      </c>
      <c r="G258" s="1">
        <v>92880</v>
      </c>
      <c r="H258" s="1">
        <v>371520</v>
      </c>
      <c r="I258" t="s">
        <v>794</v>
      </c>
      <c r="J258" t="s">
        <v>23</v>
      </c>
      <c r="K258" t="s">
        <v>18</v>
      </c>
      <c r="L258" t="str">
        <f t="shared" si="3"/>
        <v>Low</v>
      </c>
    </row>
    <row r="259" spans="1:12" x14ac:dyDescent="0.3">
      <c r="A259" t="s">
        <v>983</v>
      </c>
      <c r="B259" t="s">
        <v>984</v>
      </c>
      <c r="C259" t="s">
        <v>985</v>
      </c>
      <c r="D259" t="s">
        <v>33</v>
      </c>
      <c r="E259" t="s">
        <v>163</v>
      </c>
      <c r="F259">
        <v>4</v>
      </c>
      <c r="G259" s="1">
        <v>1064100</v>
      </c>
      <c r="H259" s="1">
        <v>4256400</v>
      </c>
      <c r="I259" t="s">
        <v>986</v>
      </c>
      <c r="J259" t="s">
        <v>23</v>
      </c>
      <c r="K259" t="s">
        <v>18</v>
      </c>
      <c r="L259" t="str">
        <f t="shared" ref="L259:L322" si="4">IF(H259&gt;2000000,"High",IF(H259&gt;500000,"Medium","Low"))</f>
        <v>High</v>
      </c>
    </row>
    <row r="260" spans="1:12" x14ac:dyDescent="0.3">
      <c r="A260" t="s">
        <v>987</v>
      </c>
      <c r="B260" t="s">
        <v>988</v>
      </c>
      <c r="C260" t="s">
        <v>989</v>
      </c>
      <c r="D260" t="s">
        <v>39</v>
      </c>
      <c r="E260" t="s">
        <v>34</v>
      </c>
      <c r="F260">
        <v>5</v>
      </c>
      <c r="G260" s="1">
        <v>1476327</v>
      </c>
      <c r="H260" s="1">
        <v>7381635</v>
      </c>
      <c r="I260" t="s">
        <v>990</v>
      </c>
      <c r="J260" t="s">
        <v>23</v>
      </c>
      <c r="K260" t="s">
        <v>29</v>
      </c>
      <c r="L260" t="str">
        <f t="shared" si="4"/>
        <v>High</v>
      </c>
    </row>
    <row r="261" spans="1:12" x14ac:dyDescent="0.3">
      <c r="A261" t="s">
        <v>991</v>
      </c>
      <c r="B261" t="s">
        <v>992</v>
      </c>
      <c r="C261" t="s">
        <v>993</v>
      </c>
      <c r="D261" t="s">
        <v>27</v>
      </c>
      <c r="E261" t="s">
        <v>74</v>
      </c>
      <c r="F261">
        <v>1</v>
      </c>
      <c r="G261" s="1">
        <v>636123</v>
      </c>
      <c r="H261" s="1">
        <v>636123</v>
      </c>
      <c r="I261" t="s">
        <v>460</v>
      </c>
      <c r="J261" t="s">
        <v>17</v>
      </c>
      <c r="K261" t="s">
        <v>29</v>
      </c>
      <c r="L261" t="str">
        <f t="shared" si="4"/>
        <v>Medium</v>
      </c>
    </row>
    <row r="262" spans="1:12" x14ac:dyDescent="0.3">
      <c r="A262" t="s">
        <v>994</v>
      </c>
      <c r="B262" t="s">
        <v>995</v>
      </c>
      <c r="C262" t="s">
        <v>996</v>
      </c>
      <c r="D262" t="s">
        <v>64</v>
      </c>
      <c r="E262" t="s">
        <v>55</v>
      </c>
      <c r="F262">
        <v>2</v>
      </c>
      <c r="G262" s="1">
        <v>283804</v>
      </c>
      <c r="H262" s="1">
        <v>567608</v>
      </c>
      <c r="I262" t="s">
        <v>424</v>
      </c>
      <c r="J262" t="s">
        <v>23</v>
      </c>
      <c r="K262" t="s">
        <v>18</v>
      </c>
      <c r="L262" t="str">
        <f t="shared" si="4"/>
        <v>Medium</v>
      </c>
    </row>
    <row r="263" spans="1:12" x14ac:dyDescent="0.3">
      <c r="A263" t="s">
        <v>997</v>
      </c>
      <c r="B263" t="s">
        <v>998</v>
      </c>
      <c r="C263" t="s">
        <v>999</v>
      </c>
      <c r="D263" t="s">
        <v>39</v>
      </c>
      <c r="E263" t="s">
        <v>34</v>
      </c>
      <c r="F263">
        <v>5</v>
      </c>
      <c r="G263" s="1">
        <v>796507</v>
      </c>
      <c r="H263" s="1">
        <v>3982535</v>
      </c>
      <c r="I263" t="s">
        <v>1000</v>
      </c>
      <c r="J263" t="s">
        <v>23</v>
      </c>
      <c r="K263" t="s">
        <v>18</v>
      </c>
      <c r="L263" t="str">
        <f t="shared" si="4"/>
        <v>High</v>
      </c>
    </row>
    <row r="264" spans="1:12" x14ac:dyDescent="0.3">
      <c r="A264" t="s">
        <v>1001</v>
      </c>
      <c r="B264" t="s">
        <v>1002</v>
      </c>
      <c r="C264" t="s">
        <v>1003</v>
      </c>
      <c r="D264" t="s">
        <v>50</v>
      </c>
      <c r="E264" t="s">
        <v>55</v>
      </c>
      <c r="F264">
        <v>5</v>
      </c>
      <c r="G264" s="1">
        <v>170074</v>
      </c>
      <c r="H264" s="1">
        <v>850370</v>
      </c>
      <c r="I264" t="s">
        <v>1004</v>
      </c>
      <c r="J264" t="s">
        <v>17</v>
      </c>
      <c r="K264" t="s">
        <v>29</v>
      </c>
      <c r="L264" t="str">
        <f t="shared" si="4"/>
        <v>Medium</v>
      </c>
    </row>
    <row r="265" spans="1:12" x14ac:dyDescent="0.3">
      <c r="A265" t="s">
        <v>1005</v>
      </c>
      <c r="B265" t="s">
        <v>1006</v>
      </c>
      <c r="C265" t="s">
        <v>1007</v>
      </c>
      <c r="D265" t="s">
        <v>27</v>
      </c>
      <c r="E265" t="s">
        <v>55</v>
      </c>
      <c r="F265">
        <v>3</v>
      </c>
      <c r="G265" s="1">
        <v>1031658</v>
      </c>
      <c r="H265" s="1">
        <v>3094974</v>
      </c>
      <c r="I265" t="s">
        <v>1008</v>
      </c>
      <c r="J265" t="s">
        <v>17</v>
      </c>
      <c r="K265" t="s">
        <v>29</v>
      </c>
      <c r="L265" t="str">
        <f t="shared" si="4"/>
        <v>High</v>
      </c>
    </row>
    <row r="266" spans="1:12" x14ac:dyDescent="0.3">
      <c r="A266" t="s">
        <v>1009</v>
      </c>
      <c r="B266" t="s">
        <v>1010</v>
      </c>
      <c r="C266" t="s">
        <v>1011</v>
      </c>
      <c r="D266" t="s">
        <v>123</v>
      </c>
      <c r="E266" t="s">
        <v>34</v>
      </c>
      <c r="F266">
        <v>2</v>
      </c>
      <c r="G266" s="1">
        <v>1114094</v>
      </c>
      <c r="H266" s="1">
        <v>2228188</v>
      </c>
      <c r="I266" t="s">
        <v>1012</v>
      </c>
      <c r="J266" t="s">
        <v>23</v>
      </c>
      <c r="K266" t="s">
        <v>29</v>
      </c>
      <c r="L266" t="str">
        <f t="shared" si="4"/>
        <v>High</v>
      </c>
    </row>
    <row r="267" spans="1:12" x14ac:dyDescent="0.3">
      <c r="A267" t="s">
        <v>1013</v>
      </c>
      <c r="B267" t="s">
        <v>1014</v>
      </c>
      <c r="C267" t="s">
        <v>1015</v>
      </c>
      <c r="D267" t="s">
        <v>123</v>
      </c>
      <c r="E267" t="s">
        <v>15</v>
      </c>
      <c r="F267">
        <v>1</v>
      </c>
      <c r="G267" s="1">
        <v>456631</v>
      </c>
      <c r="H267" s="1">
        <v>456631</v>
      </c>
      <c r="I267" t="s">
        <v>1016</v>
      </c>
      <c r="J267" t="s">
        <v>23</v>
      </c>
      <c r="K267" t="s">
        <v>46</v>
      </c>
      <c r="L267" t="str">
        <f t="shared" si="4"/>
        <v>Low</v>
      </c>
    </row>
    <row r="268" spans="1:12" x14ac:dyDescent="0.3">
      <c r="A268" t="s">
        <v>1017</v>
      </c>
      <c r="B268" t="s">
        <v>1018</v>
      </c>
      <c r="C268" t="s">
        <v>1019</v>
      </c>
      <c r="D268" t="s">
        <v>33</v>
      </c>
      <c r="E268" t="s">
        <v>15</v>
      </c>
      <c r="F268">
        <v>3</v>
      </c>
      <c r="G268" s="1">
        <v>925994</v>
      </c>
      <c r="H268" s="1">
        <v>2777982</v>
      </c>
      <c r="I268" t="s">
        <v>386</v>
      </c>
      <c r="J268" t="s">
        <v>17</v>
      </c>
      <c r="K268" t="s">
        <v>46</v>
      </c>
      <c r="L268" t="str">
        <f t="shared" si="4"/>
        <v>High</v>
      </c>
    </row>
    <row r="269" spans="1:12" x14ac:dyDescent="0.3">
      <c r="A269" t="s">
        <v>1020</v>
      </c>
      <c r="B269" t="s">
        <v>1021</v>
      </c>
      <c r="C269" t="s">
        <v>1022</v>
      </c>
      <c r="D269" t="s">
        <v>33</v>
      </c>
      <c r="E269" t="s">
        <v>34</v>
      </c>
      <c r="F269">
        <v>1</v>
      </c>
      <c r="G269" s="1">
        <v>1430321</v>
      </c>
      <c r="H269" s="1">
        <v>1430321</v>
      </c>
      <c r="I269" t="s">
        <v>119</v>
      </c>
      <c r="J269" t="s">
        <v>23</v>
      </c>
      <c r="K269" t="s">
        <v>29</v>
      </c>
      <c r="L269" t="str">
        <f t="shared" si="4"/>
        <v>Medium</v>
      </c>
    </row>
    <row r="270" spans="1:12" x14ac:dyDescent="0.3">
      <c r="A270" t="s">
        <v>1023</v>
      </c>
      <c r="B270" t="s">
        <v>1024</v>
      </c>
      <c r="C270" t="s">
        <v>1025</v>
      </c>
      <c r="D270" t="s">
        <v>123</v>
      </c>
      <c r="E270" t="s">
        <v>69</v>
      </c>
      <c r="F270">
        <v>2</v>
      </c>
      <c r="G270" s="1">
        <v>607789</v>
      </c>
      <c r="H270" s="1">
        <v>1215578</v>
      </c>
      <c r="I270" t="s">
        <v>184</v>
      </c>
      <c r="J270" t="s">
        <v>17</v>
      </c>
      <c r="K270" t="s">
        <v>29</v>
      </c>
      <c r="L270" t="str">
        <f t="shared" si="4"/>
        <v>Medium</v>
      </c>
    </row>
    <row r="271" spans="1:12" x14ac:dyDescent="0.3">
      <c r="A271" t="s">
        <v>1026</v>
      </c>
      <c r="B271" t="s">
        <v>1027</v>
      </c>
      <c r="C271" t="s">
        <v>1028</v>
      </c>
      <c r="D271" t="s">
        <v>64</v>
      </c>
      <c r="E271" t="s">
        <v>34</v>
      </c>
      <c r="F271">
        <v>1</v>
      </c>
      <c r="G271" s="1">
        <v>753598</v>
      </c>
      <c r="H271" s="1">
        <v>753598</v>
      </c>
      <c r="I271" t="s">
        <v>1029</v>
      </c>
      <c r="J271" t="s">
        <v>23</v>
      </c>
      <c r="K271" t="s">
        <v>18</v>
      </c>
      <c r="L271" t="str">
        <f t="shared" si="4"/>
        <v>Medium</v>
      </c>
    </row>
    <row r="272" spans="1:12" x14ac:dyDescent="0.3">
      <c r="A272" t="s">
        <v>1030</v>
      </c>
      <c r="B272" t="s">
        <v>1031</v>
      </c>
      <c r="C272" t="s">
        <v>1032</v>
      </c>
      <c r="D272" t="s">
        <v>14</v>
      </c>
      <c r="E272" t="s">
        <v>69</v>
      </c>
      <c r="F272">
        <v>5</v>
      </c>
      <c r="G272" s="1">
        <v>661792</v>
      </c>
      <c r="H272" s="1">
        <v>3308960</v>
      </c>
      <c r="I272" t="s">
        <v>802</v>
      </c>
      <c r="J272" t="s">
        <v>17</v>
      </c>
      <c r="K272" t="s">
        <v>18</v>
      </c>
      <c r="L272" t="str">
        <f t="shared" si="4"/>
        <v>High</v>
      </c>
    </row>
    <row r="273" spans="1:12" x14ac:dyDescent="0.3">
      <c r="A273" t="s">
        <v>1033</v>
      </c>
      <c r="B273" t="s">
        <v>1034</v>
      </c>
      <c r="C273" t="s">
        <v>1035</v>
      </c>
      <c r="D273" t="s">
        <v>64</v>
      </c>
      <c r="E273" t="s">
        <v>34</v>
      </c>
      <c r="F273">
        <v>1</v>
      </c>
      <c r="G273" s="1">
        <v>423958</v>
      </c>
      <c r="H273" s="1">
        <v>423958</v>
      </c>
      <c r="I273" t="s">
        <v>216</v>
      </c>
      <c r="J273" t="s">
        <v>17</v>
      </c>
      <c r="K273" t="s">
        <v>29</v>
      </c>
      <c r="L273" t="str">
        <f t="shared" si="4"/>
        <v>Low</v>
      </c>
    </row>
    <row r="274" spans="1:12" x14ac:dyDescent="0.3">
      <c r="A274" t="s">
        <v>1036</v>
      </c>
      <c r="B274" t="s">
        <v>1037</v>
      </c>
      <c r="C274" t="s">
        <v>1038</v>
      </c>
      <c r="D274" t="s">
        <v>14</v>
      </c>
      <c r="E274" t="s">
        <v>15</v>
      </c>
      <c r="F274">
        <v>2</v>
      </c>
      <c r="G274" s="1">
        <v>1318896</v>
      </c>
      <c r="H274" s="1">
        <v>2637792</v>
      </c>
      <c r="I274" t="s">
        <v>1039</v>
      </c>
      <c r="J274" t="s">
        <v>17</v>
      </c>
      <c r="K274" t="s">
        <v>18</v>
      </c>
      <c r="L274" t="str">
        <f t="shared" si="4"/>
        <v>High</v>
      </c>
    </row>
    <row r="275" spans="1:12" x14ac:dyDescent="0.3">
      <c r="A275" t="s">
        <v>1040</v>
      </c>
      <c r="B275" t="s">
        <v>1041</v>
      </c>
      <c r="C275" t="s">
        <v>1042</v>
      </c>
      <c r="D275" t="s">
        <v>50</v>
      </c>
      <c r="E275" t="s">
        <v>74</v>
      </c>
      <c r="F275">
        <v>1</v>
      </c>
      <c r="G275" s="1">
        <v>886305</v>
      </c>
      <c r="H275" s="1">
        <v>886305</v>
      </c>
      <c r="I275" t="s">
        <v>528</v>
      </c>
      <c r="J275" t="s">
        <v>23</v>
      </c>
      <c r="K275" t="s">
        <v>46</v>
      </c>
      <c r="L275" t="str">
        <f t="shared" si="4"/>
        <v>Medium</v>
      </c>
    </row>
    <row r="276" spans="1:12" x14ac:dyDescent="0.3">
      <c r="A276" t="s">
        <v>1043</v>
      </c>
      <c r="B276" t="s">
        <v>1044</v>
      </c>
      <c r="C276" t="s">
        <v>1045</v>
      </c>
      <c r="D276" t="s">
        <v>50</v>
      </c>
      <c r="E276" t="s">
        <v>34</v>
      </c>
      <c r="F276">
        <v>5</v>
      </c>
      <c r="G276" s="1">
        <v>59040</v>
      </c>
      <c r="H276" s="1">
        <v>295200</v>
      </c>
      <c r="I276" t="s">
        <v>1046</v>
      </c>
      <c r="J276" t="s">
        <v>23</v>
      </c>
      <c r="K276" t="s">
        <v>29</v>
      </c>
      <c r="L276" t="str">
        <f t="shared" si="4"/>
        <v>Low</v>
      </c>
    </row>
    <row r="277" spans="1:12" x14ac:dyDescent="0.3">
      <c r="A277" t="s">
        <v>1047</v>
      </c>
      <c r="B277" t="s">
        <v>1048</v>
      </c>
      <c r="C277" t="s">
        <v>1049</v>
      </c>
      <c r="D277" t="s">
        <v>123</v>
      </c>
      <c r="E277" t="s">
        <v>163</v>
      </c>
      <c r="F277">
        <v>3</v>
      </c>
      <c r="G277" s="1">
        <v>1032187</v>
      </c>
      <c r="H277" s="1">
        <v>3096561</v>
      </c>
      <c r="I277" t="s">
        <v>1050</v>
      </c>
      <c r="J277" t="s">
        <v>17</v>
      </c>
      <c r="K277" t="s">
        <v>29</v>
      </c>
      <c r="L277" t="str">
        <f t="shared" si="4"/>
        <v>High</v>
      </c>
    </row>
    <row r="278" spans="1:12" x14ac:dyDescent="0.3">
      <c r="A278" t="s">
        <v>1051</v>
      </c>
      <c r="B278" t="s">
        <v>1052</v>
      </c>
      <c r="C278" t="s">
        <v>1053</v>
      </c>
      <c r="D278" t="s">
        <v>33</v>
      </c>
      <c r="E278" t="s">
        <v>34</v>
      </c>
      <c r="F278">
        <v>3</v>
      </c>
      <c r="G278" s="1">
        <v>811796</v>
      </c>
      <c r="H278" s="1">
        <v>2435388</v>
      </c>
      <c r="I278" t="s">
        <v>103</v>
      </c>
      <c r="J278" t="s">
        <v>23</v>
      </c>
      <c r="K278" t="s">
        <v>46</v>
      </c>
      <c r="L278" t="str">
        <f t="shared" si="4"/>
        <v>High</v>
      </c>
    </row>
    <row r="279" spans="1:12" x14ac:dyDescent="0.3">
      <c r="A279" t="s">
        <v>1054</v>
      </c>
      <c r="B279" t="s">
        <v>1055</v>
      </c>
      <c r="C279" t="s">
        <v>1056</v>
      </c>
      <c r="D279" t="s">
        <v>50</v>
      </c>
      <c r="E279" t="s">
        <v>55</v>
      </c>
      <c r="F279">
        <v>4</v>
      </c>
      <c r="G279" s="1">
        <v>159471</v>
      </c>
      <c r="H279" s="1">
        <v>637884</v>
      </c>
      <c r="I279" t="s">
        <v>276</v>
      </c>
      <c r="J279" t="s">
        <v>17</v>
      </c>
      <c r="K279" t="s">
        <v>29</v>
      </c>
      <c r="L279" t="str">
        <f t="shared" si="4"/>
        <v>Medium</v>
      </c>
    </row>
    <row r="280" spans="1:12" x14ac:dyDescent="0.3">
      <c r="A280" t="s">
        <v>1057</v>
      </c>
      <c r="B280" t="s">
        <v>1058</v>
      </c>
      <c r="C280" t="s">
        <v>1059</v>
      </c>
      <c r="D280" t="s">
        <v>50</v>
      </c>
      <c r="E280" t="s">
        <v>163</v>
      </c>
      <c r="F280">
        <v>5</v>
      </c>
      <c r="G280" s="1">
        <v>799533</v>
      </c>
      <c r="H280" s="1">
        <v>3997665</v>
      </c>
      <c r="I280" t="s">
        <v>1060</v>
      </c>
      <c r="J280" t="s">
        <v>23</v>
      </c>
      <c r="K280" t="s">
        <v>46</v>
      </c>
      <c r="L280" t="str">
        <f t="shared" si="4"/>
        <v>High</v>
      </c>
    </row>
    <row r="281" spans="1:12" x14ac:dyDescent="0.3">
      <c r="A281" t="s">
        <v>1061</v>
      </c>
      <c r="B281" t="s">
        <v>1062</v>
      </c>
      <c r="C281" t="s">
        <v>1063</v>
      </c>
      <c r="D281" t="s">
        <v>27</v>
      </c>
      <c r="E281" t="s">
        <v>163</v>
      </c>
      <c r="F281">
        <v>1</v>
      </c>
      <c r="G281" s="1">
        <v>310307</v>
      </c>
      <c r="H281" s="1">
        <v>310307</v>
      </c>
      <c r="I281" t="s">
        <v>1064</v>
      </c>
      <c r="J281" t="s">
        <v>23</v>
      </c>
      <c r="K281" t="s">
        <v>29</v>
      </c>
      <c r="L281" t="str">
        <f t="shared" si="4"/>
        <v>Low</v>
      </c>
    </row>
    <row r="282" spans="1:12" x14ac:dyDescent="0.3">
      <c r="A282" t="s">
        <v>1065</v>
      </c>
      <c r="B282" t="s">
        <v>1066</v>
      </c>
      <c r="C282" t="s">
        <v>1067</v>
      </c>
      <c r="D282" t="s">
        <v>50</v>
      </c>
      <c r="E282" t="s">
        <v>69</v>
      </c>
      <c r="F282">
        <v>3</v>
      </c>
      <c r="G282" s="1">
        <v>446186</v>
      </c>
      <c r="H282" s="1">
        <v>1338558</v>
      </c>
      <c r="I282" t="s">
        <v>938</v>
      </c>
      <c r="J282" t="s">
        <v>17</v>
      </c>
      <c r="K282" t="s">
        <v>18</v>
      </c>
      <c r="L282" t="str">
        <f t="shared" si="4"/>
        <v>Medium</v>
      </c>
    </row>
    <row r="283" spans="1:12" x14ac:dyDescent="0.3">
      <c r="A283" t="s">
        <v>1068</v>
      </c>
      <c r="B283" t="s">
        <v>1069</v>
      </c>
      <c r="C283" t="s">
        <v>1070</v>
      </c>
      <c r="D283" t="s">
        <v>33</v>
      </c>
      <c r="E283" t="s">
        <v>15</v>
      </c>
      <c r="F283">
        <v>1</v>
      </c>
      <c r="G283" s="1">
        <v>802628</v>
      </c>
      <c r="H283" s="1">
        <v>802628</v>
      </c>
      <c r="I283" t="s">
        <v>1071</v>
      </c>
      <c r="J283" t="s">
        <v>23</v>
      </c>
      <c r="K283" t="s">
        <v>18</v>
      </c>
      <c r="L283" t="str">
        <f t="shared" si="4"/>
        <v>Medium</v>
      </c>
    </row>
    <row r="284" spans="1:12" x14ac:dyDescent="0.3">
      <c r="A284" t="s">
        <v>1072</v>
      </c>
      <c r="B284" t="s">
        <v>1073</v>
      </c>
      <c r="C284" t="s">
        <v>1074</v>
      </c>
      <c r="D284" t="s">
        <v>39</v>
      </c>
      <c r="E284" t="s">
        <v>40</v>
      </c>
      <c r="F284">
        <v>5</v>
      </c>
      <c r="G284" s="1">
        <v>166977</v>
      </c>
      <c r="H284" s="1">
        <v>834885</v>
      </c>
      <c r="I284" t="s">
        <v>763</v>
      </c>
      <c r="J284" t="s">
        <v>17</v>
      </c>
      <c r="K284" t="s">
        <v>18</v>
      </c>
      <c r="L284" t="str">
        <f t="shared" si="4"/>
        <v>Medium</v>
      </c>
    </row>
    <row r="285" spans="1:12" x14ac:dyDescent="0.3">
      <c r="A285" t="s">
        <v>1075</v>
      </c>
      <c r="B285" t="s">
        <v>1076</v>
      </c>
      <c r="C285" t="s">
        <v>1077</v>
      </c>
      <c r="D285" t="s">
        <v>50</v>
      </c>
      <c r="E285" t="s">
        <v>55</v>
      </c>
      <c r="F285">
        <v>5</v>
      </c>
      <c r="G285" s="1">
        <v>399144</v>
      </c>
      <c r="H285" s="1">
        <v>1995720</v>
      </c>
      <c r="I285" t="s">
        <v>1004</v>
      </c>
      <c r="J285" t="s">
        <v>23</v>
      </c>
      <c r="K285" t="s">
        <v>29</v>
      </c>
      <c r="L285" t="str">
        <f t="shared" si="4"/>
        <v>Medium</v>
      </c>
    </row>
    <row r="286" spans="1:12" x14ac:dyDescent="0.3">
      <c r="A286" t="s">
        <v>1078</v>
      </c>
      <c r="B286" t="s">
        <v>1079</v>
      </c>
      <c r="C286" t="s">
        <v>1080</v>
      </c>
      <c r="D286" t="s">
        <v>14</v>
      </c>
      <c r="E286" t="s">
        <v>69</v>
      </c>
      <c r="F286">
        <v>1</v>
      </c>
      <c r="G286" s="1">
        <v>461462</v>
      </c>
      <c r="H286" s="1">
        <v>461462</v>
      </c>
      <c r="I286" t="s">
        <v>725</v>
      </c>
      <c r="J286" t="s">
        <v>17</v>
      </c>
      <c r="K286" t="s">
        <v>29</v>
      </c>
      <c r="L286" t="str">
        <f t="shared" si="4"/>
        <v>Low</v>
      </c>
    </row>
    <row r="287" spans="1:12" x14ac:dyDescent="0.3">
      <c r="A287" t="s">
        <v>1081</v>
      </c>
      <c r="B287" t="s">
        <v>1082</v>
      </c>
      <c r="C287" t="s">
        <v>1083</v>
      </c>
      <c r="D287" t="s">
        <v>39</v>
      </c>
      <c r="E287" t="s">
        <v>69</v>
      </c>
      <c r="F287">
        <v>4</v>
      </c>
      <c r="G287" s="1">
        <v>935904</v>
      </c>
      <c r="H287" s="1">
        <v>3743616</v>
      </c>
      <c r="I287" t="s">
        <v>1084</v>
      </c>
      <c r="J287" t="s">
        <v>17</v>
      </c>
      <c r="K287" t="s">
        <v>46</v>
      </c>
      <c r="L287" t="str">
        <f t="shared" si="4"/>
        <v>High</v>
      </c>
    </row>
    <row r="288" spans="1:12" x14ac:dyDescent="0.3">
      <c r="A288" t="s">
        <v>1085</v>
      </c>
      <c r="B288" t="s">
        <v>1086</v>
      </c>
      <c r="C288" t="s">
        <v>1087</v>
      </c>
      <c r="D288" t="s">
        <v>50</v>
      </c>
      <c r="E288" t="s">
        <v>15</v>
      </c>
      <c r="F288">
        <v>4</v>
      </c>
      <c r="G288" s="1">
        <v>758195</v>
      </c>
      <c r="H288" s="1">
        <v>3032780</v>
      </c>
      <c r="I288" t="s">
        <v>833</v>
      </c>
      <c r="J288" t="s">
        <v>23</v>
      </c>
      <c r="K288" t="s">
        <v>18</v>
      </c>
      <c r="L288" t="str">
        <f t="shared" si="4"/>
        <v>High</v>
      </c>
    </row>
    <row r="289" spans="1:12" x14ac:dyDescent="0.3">
      <c r="A289" t="s">
        <v>1088</v>
      </c>
      <c r="B289" t="s">
        <v>1089</v>
      </c>
      <c r="C289" t="s">
        <v>1090</v>
      </c>
      <c r="D289" t="s">
        <v>33</v>
      </c>
      <c r="E289" t="s">
        <v>40</v>
      </c>
      <c r="F289">
        <v>2</v>
      </c>
      <c r="G289" s="1">
        <v>87881</v>
      </c>
      <c r="H289" s="1">
        <v>175762</v>
      </c>
      <c r="I289" t="s">
        <v>1091</v>
      </c>
      <c r="J289" t="s">
        <v>17</v>
      </c>
      <c r="K289" t="s">
        <v>29</v>
      </c>
      <c r="L289" t="str">
        <f t="shared" si="4"/>
        <v>Low</v>
      </c>
    </row>
    <row r="290" spans="1:12" x14ac:dyDescent="0.3">
      <c r="A290" t="s">
        <v>1092</v>
      </c>
      <c r="B290" t="s">
        <v>1093</v>
      </c>
      <c r="C290" t="s">
        <v>1094</v>
      </c>
      <c r="D290" t="s">
        <v>33</v>
      </c>
      <c r="E290" t="s">
        <v>40</v>
      </c>
      <c r="F290">
        <v>1</v>
      </c>
      <c r="G290" s="1">
        <v>969062</v>
      </c>
      <c r="H290" s="1">
        <v>969062</v>
      </c>
      <c r="I290" t="s">
        <v>288</v>
      </c>
      <c r="J290" t="s">
        <v>17</v>
      </c>
      <c r="K290" t="s">
        <v>18</v>
      </c>
      <c r="L290" t="str">
        <f t="shared" si="4"/>
        <v>Medium</v>
      </c>
    </row>
    <row r="291" spans="1:12" x14ac:dyDescent="0.3">
      <c r="A291" t="s">
        <v>1095</v>
      </c>
      <c r="B291" t="s">
        <v>1096</v>
      </c>
      <c r="C291" t="s">
        <v>1097</v>
      </c>
      <c r="D291" t="s">
        <v>27</v>
      </c>
      <c r="E291" t="s">
        <v>69</v>
      </c>
      <c r="F291">
        <v>1</v>
      </c>
      <c r="G291" s="1">
        <v>866453</v>
      </c>
      <c r="H291" s="1">
        <v>866453</v>
      </c>
      <c r="I291" t="s">
        <v>1098</v>
      </c>
      <c r="J291" t="s">
        <v>17</v>
      </c>
      <c r="K291" t="s">
        <v>46</v>
      </c>
      <c r="L291" t="str">
        <f t="shared" si="4"/>
        <v>Medium</v>
      </c>
    </row>
    <row r="292" spans="1:12" x14ac:dyDescent="0.3">
      <c r="A292" t="s">
        <v>1099</v>
      </c>
      <c r="B292" t="s">
        <v>1100</v>
      </c>
      <c r="C292" t="s">
        <v>1101</v>
      </c>
      <c r="D292" t="s">
        <v>27</v>
      </c>
      <c r="E292" t="s">
        <v>34</v>
      </c>
      <c r="F292">
        <v>5</v>
      </c>
      <c r="G292" s="1">
        <v>1163338</v>
      </c>
      <c r="H292" s="1">
        <v>5816690</v>
      </c>
      <c r="I292" t="s">
        <v>1102</v>
      </c>
      <c r="J292" t="s">
        <v>17</v>
      </c>
      <c r="K292" t="s">
        <v>29</v>
      </c>
      <c r="L292" t="str">
        <f t="shared" si="4"/>
        <v>High</v>
      </c>
    </row>
    <row r="293" spans="1:12" x14ac:dyDescent="0.3">
      <c r="A293" t="s">
        <v>1103</v>
      </c>
      <c r="B293" t="s">
        <v>1104</v>
      </c>
      <c r="C293" t="s">
        <v>1105</v>
      </c>
      <c r="D293" t="s">
        <v>123</v>
      </c>
      <c r="E293" t="s">
        <v>163</v>
      </c>
      <c r="F293">
        <v>3</v>
      </c>
      <c r="G293" s="1">
        <v>529514</v>
      </c>
      <c r="H293" s="1">
        <v>1588542</v>
      </c>
      <c r="I293" t="s">
        <v>304</v>
      </c>
      <c r="J293" t="s">
        <v>23</v>
      </c>
      <c r="K293" t="s">
        <v>46</v>
      </c>
      <c r="L293" t="str">
        <f t="shared" si="4"/>
        <v>Medium</v>
      </c>
    </row>
    <row r="294" spans="1:12" x14ac:dyDescent="0.3">
      <c r="A294" t="s">
        <v>1106</v>
      </c>
      <c r="B294" t="s">
        <v>1107</v>
      </c>
      <c r="C294" t="s">
        <v>1108</v>
      </c>
      <c r="D294" t="s">
        <v>14</v>
      </c>
      <c r="E294" t="s">
        <v>40</v>
      </c>
      <c r="F294">
        <v>3</v>
      </c>
      <c r="G294" s="1">
        <v>232854</v>
      </c>
      <c r="H294" s="1">
        <v>698562</v>
      </c>
      <c r="I294" t="s">
        <v>1109</v>
      </c>
      <c r="J294" t="s">
        <v>23</v>
      </c>
      <c r="K294" t="s">
        <v>46</v>
      </c>
      <c r="L294" t="str">
        <f t="shared" si="4"/>
        <v>Medium</v>
      </c>
    </row>
    <row r="295" spans="1:12" x14ac:dyDescent="0.3">
      <c r="A295" t="s">
        <v>1110</v>
      </c>
      <c r="B295" t="s">
        <v>1111</v>
      </c>
      <c r="C295" t="s">
        <v>1112</v>
      </c>
      <c r="D295" t="s">
        <v>33</v>
      </c>
      <c r="E295" t="s">
        <v>69</v>
      </c>
      <c r="F295">
        <v>4</v>
      </c>
      <c r="G295" s="1">
        <v>121661</v>
      </c>
      <c r="H295" s="1">
        <v>486644</v>
      </c>
      <c r="I295" t="s">
        <v>732</v>
      </c>
      <c r="J295" t="s">
        <v>17</v>
      </c>
      <c r="K295" t="s">
        <v>18</v>
      </c>
      <c r="L295" t="str">
        <f t="shared" si="4"/>
        <v>Low</v>
      </c>
    </row>
    <row r="296" spans="1:12" x14ac:dyDescent="0.3">
      <c r="A296" t="s">
        <v>1113</v>
      </c>
      <c r="B296" t="s">
        <v>1114</v>
      </c>
      <c r="C296" t="s">
        <v>1115</v>
      </c>
      <c r="D296" t="s">
        <v>14</v>
      </c>
      <c r="E296" t="s">
        <v>163</v>
      </c>
      <c r="F296">
        <v>4</v>
      </c>
      <c r="G296" s="1">
        <v>769547</v>
      </c>
      <c r="H296" s="1">
        <v>3078188</v>
      </c>
      <c r="I296" t="s">
        <v>159</v>
      </c>
      <c r="J296" t="s">
        <v>23</v>
      </c>
      <c r="K296" t="s">
        <v>29</v>
      </c>
      <c r="L296" t="str">
        <f t="shared" si="4"/>
        <v>High</v>
      </c>
    </row>
    <row r="297" spans="1:12" x14ac:dyDescent="0.3">
      <c r="A297" t="s">
        <v>1116</v>
      </c>
      <c r="B297" t="s">
        <v>1117</v>
      </c>
      <c r="C297" t="s">
        <v>1118</v>
      </c>
      <c r="D297" t="s">
        <v>33</v>
      </c>
      <c r="E297" t="s">
        <v>15</v>
      </c>
      <c r="F297">
        <v>2</v>
      </c>
      <c r="G297" s="1">
        <v>455245</v>
      </c>
      <c r="H297" s="1">
        <v>910490</v>
      </c>
      <c r="I297" t="s">
        <v>1119</v>
      </c>
      <c r="J297" t="s">
        <v>23</v>
      </c>
      <c r="K297" t="s">
        <v>29</v>
      </c>
      <c r="L297" t="str">
        <f t="shared" si="4"/>
        <v>Medium</v>
      </c>
    </row>
    <row r="298" spans="1:12" x14ac:dyDescent="0.3">
      <c r="A298" t="s">
        <v>1120</v>
      </c>
      <c r="B298" t="s">
        <v>1121</v>
      </c>
      <c r="C298" t="s">
        <v>1122</v>
      </c>
      <c r="D298" t="s">
        <v>27</v>
      </c>
      <c r="E298" t="s">
        <v>40</v>
      </c>
      <c r="F298">
        <v>5</v>
      </c>
      <c r="G298" s="1">
        <v>487793</v>
      </c>
      <c r="H298" s="1">
        <v>2438965</v>
      </c>
      <c r="I298" t="s">
        <v>1123</v>
      </c>
      <c r="J298" t="s">
        <v>23</v>
      </c>
      <c r="K298" t="s">
        <v>29</v>
      </c>
      <c r="L298" t="str">
        <f t="shared" si="4"/>
        <v>High</v>
      </c>
    </row>
    <row r="299" spans="1:12" x14ac:dyDescent="0.3">
      <c r="A299" t="s">
        <v>1124</v>
      </c>
      <c r="B299" t="s">
        <v>1125</v>
      </c>
      <c r="C299" t="s">
        <v>1126</v>
      </c>
      <c r="D299" t="s">
        <v>50</v>
      </c>
      <c r="E299" t="s">
        <v>40</v>
      </c>
      <c r="F299">
        <v>5</v>
      </c>
      <c r="G299" s="1">
        <v>1472410</v>
      </c>
      <c r="H299" s="1">
        <v>7362050</v>
      </c>
      <c r="I299" t="s">
        <v>1127</v>
      </c>
      <c r="J299" t="s">
        <v>23</v>
      </c>
      <c r="K299" t="s">
        <v>29</v>
      </c>
      <c r="L299" t="str">
        <f t="shared" si="4"/>
        <v>High</v>
      </c>
    </row>
    <row r="300" spans="1:12" x14ac:dyDescent="0.3">
      <c r="A300" t="s">
        <v>1128</v>
      </c>
      <c r="B300" t="s">
        <v>1129</v>
      </c>
      <c r="C300" t="s">
        <v>1130</v>
      </c>
      <c r="D300" t="s">
        <v>14</v>
      </c>
      <c r="E300" t="s">
        <v>55</v>
      </c>
      <c r="F300">
        <v>3</v>
      </c>
      <c r="G300" s="1">
        <v>426450</v>
      </c>
      <c r="H300" s="1">
        <v>1279350</v>
      </c>
      <c r="I300" t="s">
        <v>592</v>
      </c>
      <c r="J300" t="s">
        <v>17</v>
      </c>
      <c r="K300" t="s">
        <v>18</v>
      </c>
      <c r="L300" t="str">
        <f t="shared" si="4"/>
        <v>Medium</v>
      </c>
    </row>
    <row r="301" spans="1:12" x14ac:dyDescent="0.3">
      <c r="A301" t="s">
        <v>1131</v>
      </c>
      <c r="B301" t="s">
        <v>1132</v>
      </c>
      <c r="C301" t="s">
        <v>1133</v>
      </c>
      <c r="D301" t="s">
        <v>33</v>
      </c>
      <c r="E301" t="s">
        <v>34</v>
      </c>
      <c r="F301">
        <v>4</v>
      </c>
      <c r="G301" s="1">
        <v>143530</v>
      </c>
      <c r="H301" s="1">
        <v>574120</v>
      </c>
      <c r="I301" t="s">
        <v>973</v>
      </c>
      <c r="J301" t="s">
        <v>23</v>
      </c>
      <c r="K301" t="s">
        <v>29</v>
      </c>
      <c r="L301" t="str">
        <f t="shared" si="4"/>
        <v>Medium</v>
      </c>
    </row>
    <row r="302" spans="1:12" x14ac:dyDescent="0.3">
      <c r="A302" t="s">
        <v>1134</v>
      </c>
      <c r="B302" t="s">
        <v>1135</v>
      </c>
      <c r="C302" t="s">
        <v>1136</v>
      </c>
      <c r="D302" t="s">
        <v>14</v>
      </c>
      <c r="E302" t="s">
        <v>40</v>
      </c>
      <c r="F302">
        <v>3</v>
      </c>
      <c r="G302" s="1">
        <v>891982</v>
      </c>
      <c r="H302" s="1">
        <v>2675946</v>
      </c>
      <c r="I302" t="s">
        <v>1137</v>
      </c>
      <c r="J302" t="s">
        <v>17</v>
      </c>
      <c r="K302" t="s">
        <v>18</v>
      </c>
      <c r="L302" t="str">
        <f t="shared" si="4"/>
        <v>High</v>
      </c>
    </row>
    <row r="303" spans="1:12" x14ac:dyDescent="0.3">
      <c r="A303" t="s">
        <v>1138</v>
      </c>
      <c r="B303" t="s">
        <v>1139</v>
      </c>
      <c r="C303" t="s">
        <v>1140</v>
      </c>
      <c r="D303" t="s">
        <v>27</v>
      </c>
      <c r="E303" t="s">
        <v>55</v>
      </c>
      <c r="F303">
        <v>2</v>
      </c>
      <c r="G303" s="1">
        <v>411850</v>
      </c>
      <c r="H303" s="1">
        <v>823700</v>
      </c>
      <c r="I303" t="s">
        <v>1141</v>
      </c>
      <c r="J303" t="s">
        <v>23</v>
      </c>
      <c r="K303" t="s">
        <v>46</v>
      </c>
      <c r="L303" t="str">
        <f t="shared" si="4"/>
        <v>Medium</v>
      </c>
    </row>
    <row r="304" spans="1:12" x14ac:dyDescent="0.3">
      <c r="A304" t="s">
        <v>1142</v>
      </c>
      <c r="B304" t="s">
        <v>1143</v>
      </c>
      <c r="C304" t="s">
        <v>1144</v>
      </c>
      <c r="D304" t="s">
        <v>27</v>
      </c>
      <c r="E304" t="s">
        <v>40</v>
      </c>
      <c r="F304">
        <v>2</v>
      </c>
      <c r="G304" s="1">
        <v>970313</v>
      </c>
      <c r="H304" s="1">
        <v>1940626</v>
      </c>
      <c r="I304" t="s">
        <v>1145</v>
      </c>
      <c r="J304" t="s">
        <v>17</v>
      </c>
      <c r="K304" t="s">
        <v>46</v>
      </c>
      <c r="L304" t="str">
        <f t="shared" si="4"/>
        <v>Medium</v>
      </c>
    </row>
    <row r="305" spans="1:12" x14ac:dyDescent="0.3">
      <c r="A305" t="s">
        <v>1146</v>
      </c>
      <c r="B305" t="s">
        <v>1147</v>
      </c>
      <c r="C305" t="s">
        <v>1148</v>
      </c>
      <c r="D305" t="s">
        <v>123</v>
      </c>
      <c r="E305" t="s">
        <v>163</v>
      </c>
      <c r="F305">
        <v>1</v>
      </c>
      <c r="G305" s="1">
        <v>99703</v>
      </c>
      <c r="H305" s="1">
        <v>99703</v>
      </c>
      <c r="I305" t="s">
        <v>763</v>
      </c>
      <c r="J305" t="s">
        <v>23</v>
      </c>
      <c r="K305" t="s">
        <v>18</v>
      </c>
      <c r="L305" t="str">
        <f t="shared" si="4"/>
        <v>Low</v>
      </c>
    </row>
    <row r="306" spans="1:12" x14ac:dyDescent="0.3">
      <c r="A306" t="s">
        <v>1149</v>
      </c>
      <c r="B306" t="s">
        <v>1150</v>
      </c>
      <c r="C306" t="s">
        <v>1151</v>
      </c>
      <c r="D306" t="s">
        <v>50</v>
      </c>
      <c r="E306" t="s">
        <v>40</v>
      </c>
      <c r="F306">
        <v>2</v>
      </c>
      <c r="G306" s="1">
        <v>60027</v>
      </c>
      <c r="H306" s="1">
        <v>120054</v>
      </c>
      <c r="I306" t="s">
        <v>417</v>
      </c>
      <c r="J306" t="s">
        <v>23</v>
      </c>
      <c r="K306" t="s">
        <v>18</v>
      </c>
      <c r="L306" t="str">
        <f t="shared" si="4"/>
        <v>Low</v>
      </c>
    </row>
    <row r="307" spans="1:12" x14ac:dyDescent="0.3">
      <c r="A307" t="s">
        <v>1152</v>
      </c>
      <c r="B307" t="s">
        <v>1153</v>
      </c>
      <c r="C307" t="s">
        <v>1154</v>
      </c>
      <c r="D307" t="s">
        <v>64</v>
      </c>
      <c r="E307" t="s">
        <v>163</v>
      </c>
      <c r="F307">
        <v>5</v>
      </c>
      <c r="G307" s="1">
        <v>54025</v>
      </c>
      <c r="H307" s="1">
        <v>270125</v>
      </c>
      <c r="I307" t="s">
        <v>721</v>
      </c>
      <c r="J307" t="s">
        <v>17</v>
      </c>
      <c r="K307" t="s">
        <v>29</v>
      </c>
      <c r="L307" t="str">
        <f t="shared" si="4"/>
        <v>Low</v>
      </c>
    </row>
    <row r="308" spans="1:12" x14ac:dyDescent="0.3">
      <c r="A308" t="s">
        <v>1155</v>
      </c>
      <c r="B308" t="s">
        <v>1156</v>
      </c>
      <c r="C308" t="s">
        <v>1157</v>
      </c>
      <c r="D308" t="s">
        <v>33</v>
      </c>
      <c r="E308" t="s">
        <v>69</v>
      </c>
      <c r="F308">
        <v>2</v>
      </c>
      <c r="G308" s="1">
        <v>260939</v>
      </c>
      <c r="H308" s="1">
        <v>521878</v>
      </c>
      <c r="I308" t="s">
        <v>1004</v>
      </c>
      <c r="J308" t="s">
        <v>17</v>
      </c>
      <c r="K308" t="s">
        <v>18</v>
      </c>
      <c r="L308" t="str">
        <f t="shared" si="4"/>
        <v>Medium</v>
      </c>
    </row>
    <row r="309" spans="1:12" x14ac:dyDescent="0.3">
      <c r="A309" t="s">
        <v>1158</v>
      </c>
      <c r="B309" t="s">
        <v>1159</v>
      </c>
      <c r="C309" t="s">
        <v>1160</v>
      </c>
      <c r="D309" t="s">
        <v>27</v>
      </c>
      <c r="E309" t="s">
        <v>74</v>
      </c>
      <c r="F309">
        <v>3</v>
      </c>
      <c r="G309" s="1">
        <v>322988</v>
      </c>
      <c r="H309" s="1">
        <v>968964</v>
      </c>
      <c r="I309" t="s">
        <v>1161</v>
      </c>
      <c r="J309" t="s">
        <v>17</v>
      </c>
      <c r="K309" t="s">
        <v>18</v>
      </c>
      <c r="L309" t="str">
        <f t="shared" si="4"/>
        <v>Medium</v>
      </c>
    </row>
    <row r="310" spans="1:12" x14ac:dyDescent="0.3">
      <c r="A310" t="s">
        <v>1162</v>
      </c>
      <c r="B310" t="s">
        <v>1163</v>
      </c>
      <c r="C310" t="s">
        <v>1164</v>
      </c>
      <c r="D310" t="s">
        <v>123</v>
      </c>
      <c r="E310" t="s">
        <v>74</v>
      </c>
      <c r="F310">
        <v>5</v>
      </c>
      <c r="G310" s="1">
        <v>1247209</v>
      </c>
      <c r="H310" s="1">
        <v>6236045</v>
      </c>
      <c r="I310" t="s">
        <v>224</v>
      </c>
      <c r="J310" t="s">
        <v>17</v>
      </c>
      <c r="K310" t="s">
        <v>46</v>
      </c>
      <c r="L310" t="str">
        <f t="shared" si="4"/>
        <v>High</v>
      </c>
    </row>
    <row r="311" spans="1:12" x14ac:dyDescent="0.3">
      <c r="A311" t="s">
        <v>1165</v>
      </c>
      <c r="B311" t="s">
        <v>1166</v>
      </c>
      <c r="C311" t="s">
        <v>1167</v>
      </c>
      <c r="D311" t="s">
        <v>39</v>
      </c>
      <c r="E311" t="s">
        <v>163</v>
      </c>
      <c r="F311">
        <v>3</v>
      </c>
      <c r="G311" s="1">
        <v>1194002</v>
      </c>
      <c r="H311" s="1">
        <v>3582006</v>
      </c>
      <c r="I311" t="s">
        <v>520</v>
      </c>
      <c r="J311" t="s">
        <v>23</v>
      </c>
      <c r="K311" t="s">
        <v>46</v>
      </c>
      <c r="L311" t="str">
        <f t="shared" si="4"/>
        <v>High</v>
      </c>
    </row>
    <row r="312" spans="1:12" x14ac:dyDescent="0.3">
      <c r="A312" t="s">
        <v>1168</v>
      </c>
      <c r="B312" t="s">
        <v>1169</v>
      </c>
      <c r="C312" t="s">
        <v>1170</v>
      </c>
      <c r="D312" t="s">
        <v>123</v>
      </c>
      <c r="E312" t="s">
        <v>40</v>
      </c>
      <c r="F312">
        <v>5</v>
      </c>
      <c r="G312" s="1">
        <v>1192031</v>
      </c>
      <c r="H312" s="1">
        <v>5960155</v>
      </c>
      <c r="I312" t="s">
        <v>1171</v>
      </c>
      <c r="J312" t="s">
        <v>23</v>
      </c>
      <c r="K312" t="s">
        <v>46</v>
      </c>
      <c r="L312" t="str">
        <f t="shared" si="4"/>
        <v>High</v>
      </c>
    </row>
    <row r="313" spans="1:12" x14ac:dyDescent="0.3">
      <c r="A313" t="s">
        <v>1172</v>
      </c>
      <c r="B313" t="s">
        <v>1173</v>
      </c>
      <c r="C313" t="s">
        <v>1174</v>
      </c>
      <c r="D313" t="s">
        <v>27</v>
      </c>
      <c r="E313" t="s">
        <v>15</v>
      </c>
      <c r="F313">
        <v>4</v>
      </c>
      <c r="G313" s="1">
        <v>497126</v>
      </c>
      <c r="H313" s="1">
        <v>1988504</v>
      </c>
      <c r="I313" t="s">
        <v>136</v>
      </c>
      <c r="J313" t="s">
        <v>17</v>
      </c>
      <c r="K313" t="s">
        <v>18</v>
      </c>
      <c r="L313" t="str">
        <f t="shared" si="4"/>
        <v>Medium</v>
      </c>
    </row>
    <row r="314" spans="1:12" x14ac:dyDescent="0.3">
      <c r="A314" t="s">
        <v>1175</v>
      </c>
      <c r="B314" t="s">
        <v>1176</v>
      </c>
      <c r="C314" t="s">
        <v>1177</v>
      </c>
      <c r="D314" t="s">
        <v>123</v>
      </c>
      <c r="E314" t="s">
        <v>69</v>
      </c>
      <c r="F314">
        <v>2</v>
      </c>
      <c r="G314" s="1">
        <v>1244846</v>
      </c>
      <c r="H314" s="1">
        <v>2489692</v>
      </c>
      <c r="I314" t="s">
        <v>1178</v>
      </c>
      <c r="J314" t="s">
        <v>23</v>
      </c>
      <c r="K314" t="s">
        <v>29</v>
      </c>
      <c r="L314" t="str">
        <f t="shared" si="4"/>
        <v>High</v>
      </c>
    </row>
    <row r="315" spans="1:12" x14ac:dyDescent="0.3">
      <c r="A315" t="s">
        <v>1179</v>
      </c>
      <c r="B315" t="s">
        <v>1180</v>
      </c>
      <c r="C315" t="s">
        <v>1181</v>
      </c>
      <c r="D315" t="s">
        <v>64</v>
      </c>
      <c r="E315" t="s">
        <v>69</v>
      </c>
      <c r="F315">
        <v>4</v>
      </c>
      <c r="G315" s="1">
        <v>836308</v>
      </c>
      <c r="H315" s="1">
        <v>3345232</v>
      </c>
      <c r="I315" t="s">
        <v>164</v>
      </c>
      <c r="J315" t="s">
        <v>17</v>
      </c>
      <c r="K315" t="s">
        <v>18</v>
      </c>
      <c r="L315" t="str">
        <f t="shared" si="4"/>
        <v>High</v>
      </c>
    </row>
    <row r="316" spans="1:12" x14ac:dyDescent="0.3">
      <c r="A316" t="s">
        <v>1182</v>
      </c>
      <c r="B316" t="s">
        <v>1183</v>
      </c>
      <c r="C316" t="s">
        <v>1184</v>
      </c>
      <c r="D316" t="s">
        <v>50</v>
      </c>
      <c r="E316" t="s">
        <v>34</v>
      </c>
      <c r="F316">
        <v>1</v>
      </c>
      <c r="G316" s="1">
        <v>1058461</v>
      </c>
      <c r="H316" s="1">
        <v>1058461</v>
      </c>
      <c r="I316" t="s">
        <v>308</v>
      </c>
      <c r="J316" t="s">
        <v>17</v>
      </c>
      <c r="K316" t="s">
        <v>18</v>
      </c>
      <c r="L316" t="str">
        <f t="shared" si="4"/>
        <v>Medium</v>
      </c>
    </row>
    <row r="317" spans="1:12" x14ac:dyDescent="0.3">
      <c r="A317" t="s">
        <v>1185</v>
      </c>
      <c r="B317" t="s">
        <v>1186</v>
      </c>
      <c r="C317" t="s">
        <v>1187</v>
      </c>
      <c r="D317" t="s">
        <v>123</v>
      </c>
      <c r="E317" t="s">
        <v>163</v>
      </c>
      <c r="F317">
        <v>4</v>
      </c>
      <c r="G317" s="1">
        <v>1410971</v>
      </c>
      <c r="H317" s="1">
        <v>5643884</v>
      </c>
      <c r="I317" t="s">
        <v>172</v>
      </c>
      <c r="J317" t="s">
        <v>23</v>
      </c>
      <c r="K317" t="s">
        <v>46</v>
      </c>
      <c r="L317" t="str">
        <f t="shared" si="4"/>
        <v>High</v>
      </c>
    </row>
    <row r="318" spans="1:12" x14ac:dyDescent="0.3">
      <c r="A318" t="s">
        <v>1188</v>
      </c>
      <c r="B318" t="s">
        <v>1189</v>
      </c>
      <c r="C318" t="s">
        <v>1190</v>
      </c>
      <c r="D318" t="s">
        <v>14</v>
      </c>
      <c r="E318" t="s">
        <v>34</v>
      </c>
      <c r="F318">
        <v>1</v>
      </c>
      <c r="G318" s="1">
        <v>494794</v>
      </c>
      <c r="H318" s="1">
        <v>494794</v>
      </c>
      <c r="I318" t="s">
        <v>1191</v>
      </c>
      <c r="J318" t="s">
        <v>23</v>
      </c>
      <c r="K318" t="s">
        <v>18</v>
      </c>
      <c r="L318" t="str">
        <f t="shared" si="4"/>
        <v>Low</v>
      </c>
    </row>
    <row r="319" spans="1:12" x14ac:dyDescent="0.3">
      <c r="A319" t="s">
        <v>1192</v>
      </c>
      <c r="B319" t="s">
        <v>1193</v>
      </c>
      <c r="C319" t="s">
        <v>1194</v>
      </c>
      <c r="D319" t="s">
        <v>123</v>
      </c>
      <c r="E319" t="s">
        <v>15</v>
      </c>
      <c r="F319">
        <v>1</v>
      </c>
      <c r="G319" s="1">
        <v>191898</v>
      </c>
      <c r="H319" s="1">
        <v>191898</v>
      </c>
      <c r="I319" t="s">
        <v>1195</v>
      </c>
      <c r="J319" t="s">
        <v>23</v>
      </c>
      <c r="K319" t="s">
        <v>18</v>
      </c>
      <c r="L319" t="str">
        <f t="shared" si="4"/>
        <v>Low</v>
      </c>
    </row>
    <row r="320" spans="1:12" x14ac:dyDescent="0.3">
      <c r="A320" t="s">
        <v>1196</v>
      </c>
      <c r="B320" t="s">
        <v>1197</v>
      </c>
      <c r="C320" t="s">
        <v>1198</v>
      </c>
      <c r="D320" t="s">
        <v>123</v>
      </c>
      <c r="E320" t="s">
        <v>15</v>
      </c>
      <c r="F320">
        <v>2</v>
      </c>
      <c r="G320" s="1">
        <v>679797</v>
      </c>
      <c r="H320" s="1">
        <v>1359594</v>
      </c>
      <c r="I320" t="s">
        <v>1199</v>
      </c>
      <c r="J320" t="s">
        <v>17</v>
      </c>
      <c r="K320" t="s">
        <v>18</v>
      </c>
      <c r="L320" t="str">
        <f t="shared" si="4"/>
        <v>Medium</v>
      </c>
    </row>
    <row r="321" spans="1:12" x14ac:dyDescent="0.3">
      <c r="A321" t="s">
        <v>1200</v>
      </c>
      <c r="B321" t="s">
        <v>1201</v>
      </c>
      <c r="C321" t="s">
        <v>1202</v>
      </c>
      <c r="D321" t="s">
        <v>50</v>
      </c>
      <c r="E321" t="s">
        <v>34</v>
      </c>
      <c r="F321">
        <v>1</v>
      </c>
      <c r="G321" s="1">
        <v>568937</v>
      </c>
      <c r="H321" s="1">
        <v>568937</v>
      </c>
      <c r="I321" t="s">
        <v>1203</v>
      </c>
      <c r="J321" t="s">
        <v>17</v>
      </c>
      <c r="K321" t="s">
        <v>29</v>
      </c>
      <c r="L321" t="str">
        <f t="shared" si="4"/>
        <v>Medium</v>
      </c>
    </row>
    <row r="322" spans="1:12" x14ac:dyDescent="0.3">
      <c r="A322" t="s">
        <v>1204</v>
      </c>
      <c r="B322" t="s">
        <v>1205</v>
      </c>
      <c r="C322" t="s">
        <v>1206</v>
      </c>
      <c r="D322" t="s">
        <v>123</v>
      </c>
      <c r="E322" t="s">
        <v>55</v>
      </c>
      <c r="F322">
        <v>2</v>
      </c>
      <c r="G322" s="1">
        <v>619441</v>
      </c>
      <c r="H322" s="1">
        <v>1238882</v>
      </c>
      <c r="I322" t="s">
        <v>103</v>
      </c>
      <c r="J322" t="s">
        <v>17</v>
      </c>
      <c r="K322" t="s">
        <v>46</v>
      </c>
      <c r="L322" t="str">
        <f t="shared" si="4"/>
        <v>Medium</v>
      </c>
    </row>
    <row r="323" spans="1:12" x14ac:dyDescent="0.3">
      <c r="A323" t="s">
        <v>1207</v>
      </c>
      <c r="B323" t="s">
        <v>1208</v>
      </c>
      <c r="C323" t="s">
        <v>1209</v>
      </c>
      <c r="D323" t="s">
        <v>14</v>
      </c>
      <c r="E323" t="s">
        <v>40</v>
      </c>
      <c r="F323">
        <v>3</v>
      </c>
      <c r="G323" s="1">
        <v>94339</v>
      </c>
      <c r="H323" s="1">
        <v>283017</v>
      </c>
      <c r="I323" t="s">
        <v>1210</v>
      </c>
      <c r="J323" t="s">
        <v>23</v>
      </c>
      <c r="K323" t="s">
        <v>46</v>
      </c>
      <c r="L323" t="str">
        <f t="shared" ref="L323:L386" si="5">IF(H323&gt;2000000,"High",IF(H323&gt;500000,"Medium","Low"))</f>
        <v>Low</v>
      </c>
    </row>
    <row r="324" spans="1:12" x14ac:dyDescent="0.3">
      <c r="A324" t="s">
        <v>1211</v>
      </c>
      <c r="B324" t="s">
        <v>1212</v>
      </c>
      <c r="C324" t="s">
        <v>1213</v>
      </c>
      <c r="D324" t="s">
        <v>33</v>
      </c>
      <c r="E324" t="s">
        <v>34</v>
      </c>
      <c r="F324">
        <v>4</v>
      </c>
      <c r="G324" s="1">
        <v>879121</v>
      </c>
      <c r="H324" s="1">
        <v>3516484</v>
      </c>
      <c r="I324" t="s">
        <v>1214</v>
      </c>
      <c r="J324" t="s">
        <v>23</v>
      </c>
      <c r="K324" t="s">
        <v>18</v>
      </c>
      <c r="L324" t="str">
        <f t="shared" si="5"/>
        <v>High</v>
      </c>
    </row>
    <row r="325" spans="1:12" x14ac:dyDescent="0.3">
      <c r="A325" t="s">
        <v>1215</v>
      </c>
      <c r="B325" t="s">
        <v>1216</v>
      </c>
      <c r="C325" t="s">
        <v>1217</v>
      </c>
      <c r="D325" t="s">
        <v>14</v>
      </c>
      <c r="E325" t="s">
        <v>55</v>
      </c>
      <c r="F325">
        <v>5</v>
      </c>
      <c r="G325" s="1">
        <v>880286</v>
      </c>
      <c r="H325" s="1">
        <v>4401430</v>
      </c>
      <c r="I325" t="s">
        <v>910</v>
      </c>
      <c r="J325" t="s">
        <v>17</v>
      </c>
      <c r="K325" t="s">
        <v>18</v>
      </c>
      <c r="L325" t="str">
        <f t="shared" si="5"/>
        <v>High</v>
      </c>
    </row>
    <row r="326" spans="1:12" x14ac:dyDescent="0.3">
      <c r="A326" t="s">
        <v>1218</v>
      </c>
      <c r="B326" t="s">
        <v>1219</v>
      </c>
      <c r="C326" t="s">
        <v>1220</v>
      </c>
      <c r="D326" t="s">
        <v>33</v>
      </c>
      <c r="E326" t="s">
        <v>40</v>
      </c>
      <c r="F326">
        <v>2</v>
      </c>
      <c r="G326" s="1">
        <v>1430667</v>
      </c>
      <c r="H326" s="1">
        <v>2861334</v>
      </c>
      <c r="I326" t="s">
        <v>802</v>
      </c>
      <c r="J326" t="s">
        <v>17</v>
      </c>
      <c r="K326" t="s">
        <v>18</v>
      </c>
      <c r="L326" t="str">
        <f t="shared" si="5"/>
        <v>High</v>
      </c>
    </row>
    <row r="327" spans="1:12" x14ac:dyDescent="0.3">
      <c r="A327" t="s">
        <v>1221</v>
      </c>
      <c r="B327" t="s">
        <v>1222</v>
      </c>
      <c r="C327" t="s">
        <v>1223</v>
      </c>
      <c r="D327" t="s">
        <v>27</v>
      </c>
      <c r="E327" t="s">
        <v>34</v>
      </c>
      <c r="F327">
        <v>5</v>
      </c>
      <c r="G327" s="1">
        <v>72482</v>
      </c>
      <c r="H327" s="1">
        <v>362410</v>
      </c>
      <c r="I327" t="s">
        <v>1224</v>
      </c>
      <c r="J327" t="s">
        <v>17</v>
      </c>
      <c r="K327" t="s">
        <v>29</v>
      </c>
      <c r="L327" t="str">
        <f t="shared" si="5"/>
        <v>Low</v>
      </c>
    </row>
    <row r="328" spans="1:12" x14ac:dyDescent="0.3">
      <c r="A328" t="s">
        <v>1225</v>
      </c>
      <c r="B328" t="s">
        <v>1226</v>
      </c>
      <c r="C328" t="s">
        <v>1227</v>
      </c>
      <c r="D328" t="s">
        <v>39</v>
      </c>
      <c r="E328" t="s">
        <v>15</v>
      </c>
      <c r="F328">
        <v>4</v>
      </c>
      <c r="G328" s="1">
        <v>876934</v>
      </c>
      <c r="H328" s="1">
        <v>3507736</v>
      </c>
      <c r="I328" t="s">
        <v>823</v>
      </c>
      <c r="J328" t="s">
        <v>23</v>
      </c>
      <c r="K328" t="s">
        <v>18</v>
      </c>
      <c r="L328" t="str">
        <f t="shared" si="5"/>
        <v>High</v>
      </c>
    </row>
    <row r="329" spans="1:12" x14ac:dyDescent="0.3">
      <c r="A329" t="s">
        <v>1228</v>
      </c>
      <c r="B329" t="s">
        <v>1229</v>
      </c>
      <c r="C329" t="s">
        <v>1230</v>
      </c>
      <c r="D329" t="s">
        <v>50</v>
      </c>
      <c r="E329" t="s">
        <v>40</v>
      </c>
      <c r="F329">
        <v>1</v>
      </c>
      <c r="G329" s="1">
        <v>1232344</v>
      </c>
      <c r="H329" s="1">
        <v>1232344</v>
      </c>
      <c r="I329" t="s">
        <v>618</v>
      </c>
      <c r="J329" t="s">
        <v>23</v>
      </c>
      <c r="K329" t="s">
        <v>18</v>
      </c>
      <c r="L329" t="str">
        <f t="shared" si="5"/>
        <v>Medium</v>
      </c>
    </row>
    <row r="330" spans="1:12" x14ac:dyDescent="0.3">
      <c r="A330" t="s">
        <v>1231</v>
      </c>
      <c r="B330" t="s">
        <v>1232</v>
      </c>
      <c r="C330" t="s">
        <v>1233</v>
      </c>
      <c r="D330" t="s">
        <v>64</v>
      </c>
      <c r="E330" t="s">
        <v>55</v>
      </c>
      <c r="F330">
        <v>3</v>
      </c>
      <c r="G330" s="1">
        <v>1312676</v>
      </c>
      <c r="H330" s="1">
        <v>3938028</v>
      </c>
      <c r="I330" t="s">
        <v>256</v>
      </c>
      <c r="J330" t="s">
        <v>23</v>
      </c>
      <c r="K330" t="s">
        <v>46</v>
      </c>
      <c r="L330" t="str">
        <f t="shared" si="5"/>
        <v>High</v>
      </c>
    </row>
    <row r="331" spans="1:12" x14ac:dyDescent="0.3">
      <c r="A331" t="s">
        <v>1234</v>
      </c>
      <c r="B331" t="s">
        <v>1235</v>
      </c>
      <c r="C331" t="s">
        <v>1236</v>
      </c>
      <c r="D331" t="s">
        <v>64</v>
      </c>
      <c r="E331" t="s">
        <v>34</v>
      </c>
      <c r="F331">
        <v>2</v>
      </c>
      <c r="G331" s="1">
        <v>906039</v>
      </c>
      <c r="H331" s="1">
        <v>1812078</v>
      </c>
      <c r="I331" t="s">
        <v>483</v>
      </c>
      <c r="J331" t="s">
        <v>17</v>
      </c>
      <c r="K331" t="s">
        <v>46</v>
      </c>
      <c r="L331" t="str">
        <f t="shared" si="5"/>
        <v>Medium</v>
      </c>
    </row>
    <row r="332" spans="1:12" x14ac:dyDescent="0.3">
      <c r="A332" t="s">
        <v>1237</v>
      </c>
      <c r="B332" t="s">
        <v>1238</v>
      </c>
      <c r="C332" t="s">
        <v>1239</v>
      </c>
      <c r="D332" t="s">
        <v>14</v>
      </c>
      <c r="E332" t="s">
        <v>15</v>
      </c>
      <c r="F332">
        <v>5</v>
      </c>
      <c r="G332" s="1">
        <v>685250</v>
      </c>
      <c r="H332" s="1">
        <v>3426250</v>
      </c>
      <c r="I332" t="s">
        <v>216</v>
      </c>
      <c r="J332" t="s">
        <v>23</v>
      </c>
      <c r="K332" t="s">
        <v>29</v>
      </c>
      <c r="L332" t="str">
        <f t="shared" si="5"/>
        <v>High</v>
      </c>
    </row>
    <row r="333" spans="1:12" x14ac:dyDescent="0.3">
      <c r="A333" t="s">
        <v>1240</v>
      </c>
      <c r="B333" t="s">
        <v>1241</v>
      </c>
      <c r="C333" t="s">
        <v>1242</v>
      </c>
      <c r="D333" t="s">
        <v>33</v>
      </c>
      <c r="E333" t="s">
        <v>69</v>
      </c>
      <c r="F333">
        <v>1</v>
      </c>
      <c r="G333" s="1">
        <v>1054074</v>
      </c>
      <c r="H333" s="1">
        <v>1054074</v>
      </c>
      <c r="I333" t="s">
        <v>280</v>
      </c>
      <c r="J333" t="s">
        <v>23</v>
      </c>
      <c r="K333" t="s">
        <v>46</v>
      </c>
      <c r="L333" t="str">
        <f t="shared" si="5"/>
        <v>Medium</v>
      </c>
    </row>
    <row r="334" spans="1:12" x14ac:dyDescent="0.3">
      <c r="A334" t="s">
        <v>1243</v>
      </c>
      <c r="B334" t="s">
        <v>1244</v>
      </c>
      <c r="C334" t="s">
        <v>1245</v>
      </c>
      <c r="D334" t="s">
        <v>27</v>
      </c>
      <c r="E334" t="s">
        <v>34</v>
      </c>
      <c r="F334">
        <v>4</v>
      </c>
      <c r="G334" s="1">
        <v>965020</v>
      </c>
      <c r="H334" s="1">
        <v>3860080</v>
      </c>
      <c r="I334" t="s">
        <v>300</v>
      </c>
      <c r="J334" t="s">
        <v>23</v>
      </c>
      <c r="K334" t="s">
        <v>18</v>
      </c>
      <c r="L334" t="str">
        <f t="shared" si="5"/>
        <v>High</v>
      </c>
    </row>
    <row r="335" spans="1:12" x14ac:dyDescent="0.3">
      <c r="A335" t="s">
        <v>1246</v>
      </c>
      <c r="B335" t="s">
        <v>1247</v>
      </c>
      <c r="C335" t="s">
        <v>1248</v>
      </c>
      <c r="D335" t="s">
        <v>50</v>
      </c>
      <c r="E335" t="s">
        <v>69</v>
      </c>
      <c r="F335">
        <v>4</v>
      </c>
      <c r="G335" s="1">
        <v>1388483</v>
      </c>
      <c r="H335" s="1">
        <v>5553932</v>
      </c>
      <c r="I335" t="s">
        <v>435</v>
      </c>
      <c r="J335" t="s">
        <v>23</v>
      </c>
      <c r="K335" t="s">
        <v>29</v>
      </c>
      <c r="L335" t="str">
        <f t="shared" si="5"/>
        <v>High</v>
      </c>
    </row>
    <row r="336" spans="1:12" x14ac:dyDescent="0.3">
      <c r="A336" t="s">
        <v>1249</v>
      </c>
      <c r="B336" t="s">
        <v>1250</v>
      </c>
      <c r="C336" t="s">
        <v>1251</v>
      </c>
      <c r="D336" t="s">
        <v>64</v>
      </c>
      <c r="E336" t="s">
        <v>74</v>
      </c>
      <c r="F336">
        <v>4</v>
      </c>
      <c r="G336" s="1">
        <v>288998</v>
      </c>
      <c r="H336" s="1">
        <v>1155992</v>
      </c>
      <c r="I336" t="s">
        <v>1252</v>
      </c>
      <c r="J336" t="s">
        <v>23</v>
      </c>
      <c r="K336" t="s">
        <v>29</v>
      </c>
      <c r="L336" t="str">
        <f t="shared" si="5"/>
        <v>Medium</v>
      </c>
    </row>
    <row r="337" spans="1:12" x14ac:dyDescent="0.3">
      <c r="A337" t="s">
        <v>1253</v>
      </c>
      <c r="B337" t="s">
        <v>1254</v>
      </c>
      <c r="C337" t="s">
        <v>1255</v>
      </c>
      <c r="D337" t="s">
        <v>33</v>
      </c>
      <c r="E337" t="s">
        <v>163</v>
      </c>
      <c r="F337">
        <v>1</v>
      </c>
      <c r="G337" s="1">
        <v>835286</v>
      </c>
      <c r="H337" s="1">
        <v>835286</v>
      </c>
      <c r="I337" t="s">
        <v>1256</v>
      </c>
      <c r="J337" t="s">
        <v>17</v>
      </c>
      <c r="K337" t="s">
        <v>46</v>
      </c>
      <c r="L337" t="str">
        <f t="shared" si="5"/>
        <v>Medium</v>
      </c>
    </row>
    <row r="338" spans="1:12" x14ac:dyDescent="0.3">
      <c r="A338" t="s">
        <v>1257</v>
      </c>
      <c r="B338" t="s">
        <v>1258</v>
      </c>
      <c r="C338" t="s">
        <v>1259</v>
      </c>
      <c r="D338" t="s">
        <v>39</v>
      </c>
      <c r="E338" t="s">
        <v>15</v>
      </c>
      <c r="F338">
        <v>3</v>
      </c>
      <c r="G338" s="1">
        <v>389412</v>
      </c>
      <c r="H338" s="1">
        <v>1168236</v>
      </c>
      <c r="I338" t="s">
        <v>428</v>
      </c>
      <c r="J338" t="s">
        <v>23</v>
      </c>
      <c r="K338" t="s">
        <v>29</v>
      </c>
      <c r="L338" t="str">
        <f t="shared" si="5"/>
        <v>Medium</v>
      </c>
    </row>
    <row r="339" spans="1:12" x14ac:dyDescent="0.3">
      <c r="A339" t="s">
        <v>1260</v>
      </c>
      <c r="B339" t="s">
        <v>1261</v>
      </c>
      <c r="C339" t="s">
        <v>1262</v>
      </c>
      <c r="D339" t="s">
        <v>27</v>
      </c>
      <c r="E339" t="s">
        <v>40</v>
      </c>
      <c r="F339">
        <v>5</v>
      </c>
      <c r="G339" s="1">
        <v>271057</v>
      </c>
      <c r="H339" s="1">
        <v>1355285</v>
      </c>
      <c r="I339" t="s">
        <v>673</v>
      </c>
      <c r="J339" t="s">
        <v>17</v>
      </c>
      <c r="K339" t="s">
        <v>18</v>
      </c>
      <c r="L339" t="str">
        <f t="shared" si="5"/>
        <v>Medium</v>
      </c>
    </row>
    <row r="340" spans="1:12" x14ac:dyDescent="0.3">
      <c r="A340" t="s">
        <v>1263</v>
      </c>
      <c r="B340" t="s">
        <v>1264</v>
      </c>
      <c r="C340" t="s">
        <v>1265</v>
      </c>
      <c r="D340" t="s">
        <v>39</v>
      </c>
      <c r="E340" t="s">
        <v>69</v>
      </c>
      <c r="F340">
        <v>2</v>
      </c>
      <c r="G340" s="1">
        <v>384801</v>
      </c>
      <c r="H340" s="1">
        <v>769602</v>
      </c>
      <c r="I340" t="s">
        <v>363</v>
      </c>
      <c r="J340" t="s">
        <v>17</v>
      </c>
      <c r="K340" t="s">
        <v>18</v>
      </c>
      <c r="L340" t="str">
        <f t="shared" si="5"/>
        <v>Medium</v>
      </c>
    </row>
    <row r="341" spans="1:12" x14ac:dyDescent="0.3">
      <c r="A341" t="s">
        <v>1266</v>
      </c>
      <c r="B341" t="s">
        <v>1267</v>
      </c>
      <c r="C341" t="s">
        <v>1268</v>
      </c>
      <c r="D341" t="s">
        <v>14</v>
      </c>
      <c r="E341" t="s">
        <v>69</v>
      </c>
      <c r="F341">
        <v>1</v>
      </c>
      <c r="G341" s="1">
        <v>949817</v>
      </c>
      <c r="H341" s="1">
        <v>949817</v>
      </c>
      <c r="I341" t="s">
        <v>1050</v>
      </c>
      <c r="J341" t="s">
        <v>23</v>
      </c>
      <c r="K341" t="s">
        <v>29</v>
      </c>
      <c r="L341" t="str">
        <f t="shared" si="5"/>
        <v>Medium</v>
      </c>
    </row>
    <row r="342" spans="1:12" x14ac:dyDescent="0.3">
      <c r="A342" t="s">
        <v>1269</v>
      </c>
      <c r="B342" t="s">
        <v>1270</v>
      </c>
      <c r="C342" t="s">
        <v>1271</v>
      </c>
      <c r="D342" t="s">
        <v>14</v>
      </c>
      <c r="E342" t="s">
        <v>163</v>
      </c>
      <c r="F342">
        <v>4</v>
      </c>
      <c r="G342" s="1">
        <v>547396</v>
      </c>
      <c r="H342" s="1">
        <v>2189584</v>
      </c>
      <c r="I342" t="s">
        <v>1272</v>
      </c>
      <c r="J342" t="s">
        <v>17</v>
      </c>
      <c r="K342" t="s">
        <v>18</v>
      </c>
      <c r="L342" t="str">
        <f t="shared" si="5"/>
        <v>High</v>
      </c>
    </row>
    <row r="343" spans="1:12" x14ac:dyDescent="0.3">
      <c r="A343" t="s">
        <v>1273</v>
      </c>
      <c r="B343" t="s">
        <v>1274</v>
      </c>
      <c r="C343" t="s">
        <v>1275</v>
      </c>
      <c r="D343" t="s">
        <v>27</v>
      </c>
      <c r="E343" t="s">
        <v>69</v>
      </c>
      <c r="F343">
        <v>3</v>
      </c>
      <c r="G343" s="1">
        <v>91905</v>
      </c>
      <c r="H343" s="1">
        <v>275715</v>
      </c>
      <c r="I343" t="s">
        <v>1276</v>
      </c>
      <c r="J343" t="s">
        <v>17</v>
      </c>
      <c r="K343" t="s">
        <v>46</v>
      </c>
      <c r="L343" t="str">
        <f t="shared" si="5"/>
        <v>Low</v>
      </c>
    </row>
    <row r="344" spans="1:12" x14ac:dyDescent="0.3">
      <c r="A344" t="s">
        <v>1277</v>
      </c>
      <c r="B344" t="s">
        <v>1278</v>
      </c>
      <c r="C344" t="s">
        <v>1279</v>
      </c>
      <c r="D344" t="s">
        <v>123</v>
      </c>
      <c r="E344" t="s">
        <v>163</v>
      </c>
      <c r="F344">
        <v>5</v>
      </c>
      <c r="G344" s="1">
        <v>480503</v>
      </c>
      <c r="H344" s="1">
        <v>2402515</v>
      </c>
      <c r="I344" t="s">
        <v>335</v>
      </c>
      <c r="J344" t="s">
        <v>17</v>
      </c>
      <c r="K344" t="s">
        <v>29</v>
      </c>
      <c r="L344" t="str">
        <f t="shared" si="5"/>
        <v>High</v>
      </c>
    </row>
    <row r="345" spans="1:12" x14ac:dyDescent="0.3">
      <c r="A345" t="s">
        <v>1280</v>
      </c>
      <c r="B345" t="s">
        <v>1281</v>
      </c>
      <c r="C345" t="s">
        <v>1282</v>
      </c>
      <c r="D345" t="s">
        <v>39</v>
      </c>
      <c r="E345" t="s">
        <v>163</v>
      </c>
      <c r="F345">
        <v>2</v>
      </c>
      <c r="G345" s="1">
        <v>1046817</v>
      </c>
      <c r="H345" s="1">
        <v>2093634</v>
      </c>
      <c r="I345" t="s">
        <v>1191</v>
      </c>
      <c r="J345" t="s">
        <v>23</v>
      </c>
      <c r="K345" t="s">
        <v>29</v>
      </c>
      <c r="L345" t="str">
        <f t="shared" si="5"/>
        <v>High</v>
      </c>
    </row>
    <row r="346" spans="1:12" x14ac:dyDescent="0.3">
      <c r="A346" t="s">
        <v>1283</v>
      </c>
      <c r="B346" t="s">
        <v>1284</v>
      </c>
      <c r="C346" t="s">
        <v>1285</v>
      </c>
      <c r="D346" t="s">
        <v>33</v>
      </c>
      <c r="E346" t="s">
        <v>15</v>
      </c>
      <c r="F346">
        <v>3</v>
      </c>
      <c r="G346" s="1">
        <v>665737</v>
      </c>
      <c r="H346" s="1">
        <v>1997211</v>
      </c>
      <c r="I346" t="s">
        <v>1286</v>
      </c>
      <c r="J346" t="s">
        <v>17</v>
      </c>
      <c r="K346" t="s">
        <v>29</v>
      </c>
      <c r="L346" t="str">
        <f t="shared" si="5"/>
        <v>Medium</v>
      </c>
    </row>
    <row r="347" spans="1:12" x14ac:dyDescent="0.3">
      <c r="A347" t="s">
        <v>1287</v>
      </c>
      <c r="B347" t="s">
        <v>1288</v>
      </c>
      <c r="C347" t="s">
        <v>1289</v>
      </c>
      <c r="D347" t="s">
        <v>14</v>
      </c>
      <c r="E347" t="s">
        <v>55</v>
      </c>
      <c r="F347">
        <v>2</v>
      </c>
      <c r="G347" s="1">
        <v>239802</v>
      </c>
      <c r="H347" s="1">
        <v>479604</v>
      </c>
      <c r="I347" t="s">
        <v>1290</v>
      </c>
      <c r="J347" t="s">
        <v>23</v>
      </c>
      <c r="K347" t="s">
        <v>46</v>
      </c>
      <c r="L347" t="str">
        <f t="shared" si="5"/>
        <v>Low</v>
      </c>
    </row>
    <row r="348" spans="1:12" x14ac:dyDescent="0.3">
      <c r="A348" t="s">
        <v>1291</v>
      </c>
      <c r="B348" t="s">
        <v>1292</v>
      </c>
      <c r="C348" t="s">
        <v>1293</v>
      </c>
      <c r="D348" t="s">
        <v>39</v>
      </c>
      <c r="E348" t="s">
        <v>34</v>
      </c>
      <c r="F348">
        <v>3</v>
      </c>
      <c r="G348" s="1">
        <v>750318</v>
      </c>
      <c r="H348" s="1">
        <v>2250954</v>
      </c>
      <c r="I348" t="s">
        <v>542</v>
      </c>
      <c r="J348" t="s">
        <v>17</v>
      </c>
      <c r="K348" t="s">
        <v>29</v>
      </c>
      <c r="L348" t="str">
        <f t="shared" si="5"/>
        <v>High</v>
      </c>
    </row>
    <row r="349" spans="1:12" x14ac:dyDescent="0.3">
      <c r="A349" t="s">
        <v>1294</v>
      </c>
      <c r="B349" t="s">
        <v>1295</v>
      </c>
      <c r="C349" t="s">
        <v>1296</v>
      </c>
      <c r="D349" t="s">
        <v>39</v>
      </c>
      <c r="E349" t="s">
        <v>15</v>
      </c>
      <c r="F349">
        <v>3</v>
      </c>
      <c r="G349" s="1">
        <v>258478</v>
      </c>
      <c r="H349" s="1">
        <v>775434</v>
      </c>
      <c r="I349" t="s">
        <v>119</v>
      </c>
      <c r="J349" t="s">
        <v>17</v>
      </c>
      <c r="K349" t="s">
        <v>29</v>
      </c>
      <c r="L349" t="str">
        <f t="shared" si="5"/>
        <v>Medium</v>
      </c>
    </row>
    <row r="350" spans="1:12" x14ac:dyDescent="0.3">
      <c r="A350" t="s">
        <v>1297</v>
      </c>
      <c r="B350" t="s">
        <v>1298</v>
      </c>
      <c r="C350" t="s">
        <v>1299</v>
      </c>
      <c r="D350" t="s">
        <v>14</v>
      </c>
      <c r="E350" t="s">
        <v>40</v>
      </c>
      <c r="F350">
        <v>3</v>
      </c>
      <c r="G350" s="1">
        <v>554535</v>
      </c>
      <c r="H350" s="1">
        <v>1663605</v>
      </c>
      <c r="I350" t="s">
        <v>99</v>
      </c>
      <c r="J350" t="s">
        <v>23</v>
      </c>
      <c r="K350" t="s">
        <v>18</v>
      </c>
      <c r="L350" t="str">
        <f t="shared" si="5"/>
        <v>Medium</v>
      </c>
    </row>
    <row r="351" spans="1:12" x14ac:dyDescent="0.3">
      <c r="A351" t="s">
        <v>1300</v>
      </c>
      <c r="B351" t="s">
        <v>1301</v>
      </c>
      <c r="C351" t="s">
        <v>1302</v>
      </c>
      <c r="D351" t="s">
        <v>39</v>
      </c>
      <c r="E351" t="s">
        <v>40</v>
      </c>
      <c r="F351">
        <v>3</v>
      </c>
      <c r="G351" s="1">
        <v>1053475</v>
      </c>
      <c r="H351" s="1">
        <v>3160425</v>
      </c>
      <c r="I351" t="s">
        <v>1303</v>
      </c>
      <c r="J351" t="s">
        <v>23</v>
      </c>
      <c r="K351" t="s">
        <v>29</v>
      </c>
      <c r="L351" t="str">
        <f t="shared" si="5"/>
        <v>High</v>
      </c>
    </row>
    <row r="352" spans="1:12" x14ac:dyDescent="0.3">
      <c r="A352" t="s">
        <v>1304</v>
      </c>
      <c r="B352" t="s">
        <v>1305</v>
      </c>
      <c r="C352" t="s">
        <v>1306</v>
      </c>
      <c r="D352" t="s">
        <v>64</v>
      </c>
      <c r="E352" t="s">
        <v>34</v>
      </c>
      <c r="F352">
        <v>2</v>
      </c>
      <c r="G352" s="1">
        <v>1398422</v>
      </c>
      <c r="H352" s="1">
        <v>2796844</v>
      </c>
      <c r="I352" t="s">
        <v>833</v>
      </c>
      <c r="J352" t="s">
        <v>23</v>
      </c>
      <c r="K352" t="s">
        <v>46</v>
      </c>
      <c r="L352" t="str">
        <f t="shared" si="5"/>
        <v>High</v>
      </c>
    </row>
    <row r="353" spans="1:12" x14ac:dyDescent="0.3">
      <c r="A353" t="s">
        <v>1307</v>
      </c>
      <c r="B353" t="s">
        <v>1308</v>
      </c>
      <c r="C353" t="s">
        <v>1309</v>
      </c>
      <c r="D353" t="s">
        <v>33</v>
      </c>
      <c r="E353" t="s">
        <v>40</v>
      </c>
      <c r="F353">
        <v>3</v>
      </c>
      <c r="G353" s="1">
        <v>1413417</v>
      </c>
      <c r="H353" s="1">
        <v>4240251</v>
      </c>
      <c r="I353" t="s">
        <v>973</v>
      </c>
      <c r="J353" t="s">
        <v>17</v>
      </c>
      <c r="K353" t="s">
        <v>29</v>
      </c>
      <c r="L353" t="str">
        <f t="shared" si="5"/>
        <v>High</v>
      </c>
    </row>
    <row r="354" spans="1:12" x14ac:dyDescent="0.3">
      <c r="A354" t="s">
        <v>1310</v>
      </c>
      <c r="B354" t="s">
        <v>1311</v>
      </c>
      <c r="C354" t="s">
        <v>1312</v>
      </c>
      <c r="D354" t="s">
        <v>39</v>
      </c>
      <c r="E354" t="s">
        <v>163</v>
      </c>
      <c r="F354">
        <v>4</v>
      </c>
      <c r="G354" s="1">
        <v>402814</v>
      </c>
      <c r="H354" s="1">
        <v>1611256</v>
      </c>
      <c r="I354" t="s">
        <v>1313</v>
      </c>
      <c r="J354" t="s">
        <v>17</v>
      </c>
      <c r="K354" t="s">
        <v>29</v>
      </c>
      <c r="L354" t="str">
        <f t="shared" si="5"/>
        <v>Medium</v>
      </c>
    </row>
    <row r="355" spans="1:12" x14ac:dyDescent="0.3">
      <c r="A355" t="s">
        <v>1314</v>
      </c>
      <c r="B355" t="s">
        <v>1315</v>
      </c>
      <c r="C355" t="s">
        <v>1316</v>
      </c>
      <c r="D355" t="s">
        <v>27</v>
      </c>
      <c r="E355" t="s">
        <v>34</v>
      </c>
      <c r="F355">
        <v>5</v>
      </c>
      <c r="G355" s="1">
        <v>1411137</v>
      </c>
      <c r="H355" s="1">
        <v>7055685</v>
      </c>
      <c r="I355" t="s">
        <v>483</v>
      </c>
      <c r="J355" t="s">
        <v>23</v>
      </c>
      <c r="K355" t="s">
        <v>18</v>
      </c>
      <c r="L355" t="str">
        <f t="shared" si="5"/>
        <v>High</v>
      </c>
    </row>
    <row r="356" spans="1:12" x14ac:dyDescent="0.3">
      <c r="A356" t="s">
        <v>1317</v>
      </c>
      <c r="B356" t="s">
        <v>1318</v>
      </c>
      <c r="C356" t="s">
        <v>1319</v>
      </c>
      <c r="D356" t="s">
        <v>50</v>
      </c>
      <c r="E356" t="s">
        <v>15</v>
      </c>
      <c r="F356">
        <v>1</v>
      </c>
      <c r="G356" s="1">
        <v>813419</v>
      </c>
      <c r="H356" s="1">
        <v>813419</v>
      </c>
      <c r="I356" t="s">
        <v>1320</v>
      </c>
      <c r="J356" t="s">
        <v>17</v>
      </c>
      <c r="K356" t="s">
        <v>18</v>
      </c>
      <c r="L356" t="str">
        <f t="shared" si="5"/>
        <v>Medium</v>
      </c>
    </row>
    <row r="357" spans="1:12" x14ac:dyDescent="0.3">
      <c r="A357" t="s">
        <v>1321</v>
      </c>
      <c r="B357" t="s">
        <v>1322</v>
      </c>
      <c r="C357" t="s">
        <v>1323</v>
      </c>
      <c r="D357" t="s">
        <v>39</v>
      </c>
      <c r="E357" t="s">
        <v>34</v>
      </c>
      <c r="F357">
        <v>4</v>
      </c>
      <c r="G357" s="1">
        <v>881802</v>
      </c>
      <c r="H357" s="1">
        <v>3527208</v>
      </c>
      <c r="I357" t="s">
        <v>1324</v>
      </c>
      <c r="J357" t="s">
        <v>23</v>
      </c>
      <c r="K357" t="s">
        <v>29</v>
      </c>
      <c r="L357" t="str">
        <f t="shared" si="5"/>
        <v>High</v>
      </c>
    </row>
    <row r="358" spans="1:12" x14ac:dyDescent="0.3">
      <c r="A358" t="s">
        <v>1325</v>
      </c>
      <c r="B358" t="s">
        <v>1326</v>
      </c>
      <c r="C358" t="s">
        <v>1327</v>
      </c>
      <c r="D358" t="s">
        <v>64</v>
      </c>
      <c r="E358" t="s">
        <v>40</v>
      </c>
      <c r="F358">
        <v>2</v>
      </c>
      <c r="G358" s="1">
        <v>1051423</v>
      </c>
      <c r="H358" s="1">
        <v>2102846</v>
      </c>
      <c r="I358" t="s">
        <v>697</v>
      </c>
      <c r="J358" t="s">
        <v>23</v>
      </c>
      <c r="K358" t="s">
        <v>46</v>
      </c>
      <c r="L358" t="str">
        <f t="shared" si="5"/>
        <v>High</v>
      </c>
    </row>
    <row r="359" spans="1:12" x14ac:dyDescent="0.3">
      <c r="A359" t="s">
        <v>1328</v>
      </c>
      <c r="B359" t="s">
        <v>1329</v>
      </c>
      <c r="C359" t="s">
        <v>1330</v>
      </c>
      <c r="D359" t="s">
        <v>39</v>
      </c>
      <c r="E359" t="s">
        <v>15</v>
      </c>
      <c r="F359">
        <v>5</v>
      </c>
      <c r="G359" s="1">
        <v>979307</v>
      </c>
      <c r="H359" s="1">
        <v>4896535</v>
      </c>
      <c r="I359" t="s">
        <v>1331</v>
      </c>
      <c r="J359" t="s">
        <v>17</v>
      </c>
      <c r="K359" t="s">
        <v>46</v>
      </c>
      <c r="L359" t="str">
        <f t="shared" si="5"/>
        <v>High</v>
      </c>
    </row>
    <row r="360" spans="1:12" x14ac:dyDescent="0.3">
      <c r="A360" t="s">
        <v>1332</v>
      </c>
      <c r="B360" t="s">
        <v>1333</v>
      </c>
      <c r="C360" t="s">
        <v>1334</v>
      </c>
      <c r="D360" t="s">
        <v>50</v>
      </c>
      <c r="E360" t="s">
        <v>163</v>
      </c>
      <c r="F360">
        <v>5</v>
      </c>
      <c r="G360" s="1">
        <v>937332</v>
      </c>
      <c r="H360" s="1">
        <v>4686660</v>
      </c>
      <c r="I360" t="s">
        <v>986</v>
      </c>
      <c r="J360" t="s">
        <v>23</v>
      </c>
      <c r="K360" t="s">
        <v>46</v>
      </c>
      <c r="L360" t="str">
        <f t="shared" si="5"/>
        <v>High</v>
      </c>
    </row>
    <row r="361" spans="1:12" x14ac:dyDescent="0.3">
      <c r="A361" t="s">
        <v>1335</v>
      </c>
      <c r="B361" t="s">
        <v>1336</v>
      </c>
      <c r="C361" t="s">
        <v>1337</v>
      </c>
      <c r="D361" t="s">
        <v>14</v>
      </c>
      <c r="E361" t="s">
        <v>74</v>
      </c>
      <c r="F361">
        <v>3</v>
      </c>
      <c r="G361" s="1">
        <v>396792</v>
      </c>
      <c r="H361" s="1">
        <v>1190376</v>
      </c>
      <c r="I361" t="s">
        <v>1338</v>
      </c>
      <c r="J361" t="s">
        <v>23</v>
      </c>
      <c r="K361" t="s">
        <v>18</v>
      </c>
      <c r="L361" t="str">
        <f t="shared" si="5"/>
        <v>Medium</v>
      </c>
    </row>
    <row r="362" spans="1:12" x14ac:dyDescent="0.3">
      <c r="A362" t="s">
        <v>1339</v>
      </c>
      <c r="B362" t="s">
        <v>1340</v>
      </c>
      <c r="C362" t="s">
        <v>1341</v>
      </c>
      <c r="D362" t="s">
        <v>14</v>
      </c>
      <c r="E362" t="s">
        <v>34</v>
      </c>
      <c r="F362">
        <v>2</v>
      </c>
      <c r="G362" s="1">
        <v>1251079</v>
      </c>
      <c r="H362" s="1">
        <v>2502158</v>
      </c>
      <c r="I362" t="s">
        <v>1342</v>
      </c>
      <c r="J362" t="s">
        <v>17</v>
      </c>
      <c r="K362" t="s">
        <v>18</v>
      </c>
      <c r="L362" t="str">
        <f t="shared" si="5"/>
        <v>High</v>
      </c>
    </row>
    <row r="363" spans="1:12" x14ac:dyDescent="0.3">
      <c r="A363" t="s">
        <v>1343</v>
      </c>
      <c r="B363" t="s">
        <v>1344</v>
      </c>
      <c r="C363" t="s">
        <v>1345</v>
      </c>
      <c r="D363" t="s">
        <v>123</v>
      </c>
      <c r="E363" t="s">
        <v>34</v>
      </c>
      <c r="F363">
        <v>2</v>
      </c>
      <c r="G363" s="1">
        <v>545087</v>
      </c>
      <c r="H363" s="1">
        <v>1090174</v>
      </c>
      <c r="I363" t="s">
        <v>647</v>
      </c>
      <c r="J363" t="s">
        <v>17</v>
      </c>
      <c r="K363" t="s">
        <v>18</v>
      </c>
      <c r="L363" t="str">
        <f t="shared" si="5"/>
        <v>Medium</v>
      </c>
    </row>
    <row r="364" spans="1:12" x14ac:dyDescent="0.3">
      <c r="A364" t="s">
        <v>1346</v>
      </c>
      <c r="B364" t="s">
        <v>1347</v>
      </c>
      <c r="C364" t="s">
        <v>1348</v>
      </c>
      <c r="D364" t="s">
        <v>27</v>
      </c>
      <c r="E364" t="s">
        <v>74</v>
      </c>
      <c r="F364">
        <v>3</v>
      </c>
      <c r="G364" s="1">
        <v>176983</v>
      </c>
      <c r="H364" s="1">
        <v>530949</v>
      </c>
      <c r="I364" t="s">
        <v>875</v>
      </c>
      <c r="J364" t="s">
        <v>23</v>
      </c>
      <c r="K364" t="s">
        <v>46</v>
      </c>
      <c r="L364" t="str">
        <f t="shared" si="5"/>
        <v>Medium</v>
      </c>
    </row>
    <row r="365" spans="1:12" x14ac:dyDescent="0.3">
      <c r="A365" t="s">
        <v>1349</v>
      </c>
      <c r="B365" t="s">
        <v>1350</v>
      </c>
      <c r="C365" t="s">
        <v>1351</v>
      </c>
      <c r="D365" t="s">
        <v>27</v>
      </c>
      <c r="E365" t="s">
        <v>163</v>
      </c>
      <c r="F365">
        <v>4</v>
      </c>
      <c r="G365" s="1">
        <v>89711</v>
      </c>
      <c r="H365" s="1">
        <v>358844</v>
      </c>
      <c r="I365" t="s">
        <v>443</v>
      </c>
      <c r="J365" t="s">
        <v>17</v>
      </c>
      <c r="K365" t="s">
        <v>18</v>
      </c>
      <c r="L365" t="str">
        <f t="shared" si="5"/>
        <v>Low</v>
      </c>
    </row>
    <row r="366" spans="1:12" x14ac:dyDescent="0.3">
      <c r="A366" t="s">
        <v>1352</v>
      </c>
      <c r="B366" t="s">
        <v>1353</v>
      </c>
      <c r="C366" t="s">
        <v>1354</v>
      </c>
      <c r="D366" t="s">
        <v>33</v>
      </c>
      <c r="E366" t="s">
        <v>55</v>
      </c>
      <c r="F366">
        <v>2</v>
      </c>
      <c r="G366" s="1">
        <v>1054460</v>
      </c>
      <c r="H366" s="1">
        <v>2108920</v>
      </c>
      <c r="I366" t="s">
        <v>417</v>
      </c>
      <c r="J366" t="s">
        <v>17</v>
      </c>
      <c r="K366" t="s">
        <v>18</v>
      </c>
      <c r="L366" t="str">
        <f t="shared" si="5"/>
        <v>High</v>
      </c>
    </row>
    <row r="367" spans="1:12" x14ac:dyDescent="0.3">
      <c r="A367" t="s">
        <v>1355</v>
      </c>
      <c r="B367" t="s">
        <v>1356</v>
      </c>
      <c r="C367" t="s">
        <v>1357</v>
      </c>
      <c r="D367" t="s">
        <v>39</v>
      </c>
      <c r="E367" t="s">
        <v>74</v>
      </c>
      <c r="F367">
        <v>4</v>
      </c>
      <c r="G367" s="1">
        <v>627644</v>
      </c>
      <c r="H367" s="1">
        <v>2510576</v>
      </c>
      <c r="I367" t="s">
        <v>1358</v>
      </c>
      <c r="J367" t="s">
        <v>23</v>
      </c>
      <c r="K367" t="s">
        <v>46</v>
      </c>
      <c r="L367" t="str">
        <f t="shared" si="5"/>
        <v>High</v>
      </c>
    </row>
    <row r="368" spans="1:12" x14ac:dyDescent="0.3">
      <c r="A368" t="s">
        <v>1359</v>
      </c>
      <c r="B368" t="s">
        <v>1360</v>
      </c>
      <c r="C368" t="s">
        <v>1361</v>
      </c>
      <c r="D368" t="s">
        <v>14</v>
      </c>
      <c r="E368" t="s">
        <v>55</v>
      </c>
      <c r="F368">
        <v>1</v>
      </c>
      <c r="G368" s="1">
        <v>332713</v>
      </c>
      <c r="H368" s="1">
        <v>332713</v>
      </c>
      <c r="I368" t="s">
        <v>798</v>
      </c>
      <c r="J368" t="s">
        <v>17</v>
      </c>
      <c r="K368" t="s">
        <v>46</v>
      </c>
      <c r="L368" t="str">
        <f t="shared" si="5"/>
        <v>Low</v>
      </c>
    </row>
    <row r="369" spans="1:12" x14ac:dyDescent="0.3">
      <c r="A369" t="s">
        <v>1362</v>
      </c>
      <c r="B369" t="s">
        <v>1363</v>
      </c>
      <c r="C369" t="s">
        <v>1364</v>
      </c>
      <c r="D369" t="s">
        <v>14</v>
      </c>
      <c r="E369" t="s">
        <v>15</v>
      </c>
      <c r="F369">
        <v>5</v>
      </c>
      <c r="G369" s="1">
        <v>918386</v>
      </c>
      <c r="H369" s="1">
        <v>4591930</v>
      </c>
      <c r="I369" t="s">
        <v>216</v>
      </c>
      <c r="J369" t="s">
        <v>17</v>
      </c>
      <c r="K369" t="s">
        <v>29</v>
      </c>
      <c r="L369" t="str">
        <f t="shared" si="5"/>
        <v>High</v>
      </c>
    </row>
    <row r="370" spans="1:12" x14ac:dyDescent="0.3">
      <c r="A370" t="s">
        <v>1365</v>
      </c>
      <c r="B370" t="s">
        <v>1366</v>
      </c>
      <c r="C370" t="s">
        <v>1367</v>
      </c>
      <c r="D370" t="s">
        <v>64</v>
      </c>
      <c r="E370" t="s">
        <v>55</v>
      </c>
      <c r="F370">
        <v>1</v>
      </c>
      <c r="G370" s="1">
        <v>631421</v>
      </c>
      <c r="H370" s="1">
        <v>631421</v>
      </c>
      <c r="I370" t="s">
        <v>505</v>
      </c>
      <c r="J370" t="s">
        <v>23</v>
      </c>
      <c r="K370" t="s">
        <v>29</v>
      </c>
      <c r="L370" t="str">
        <f t="shared" si="5"/>
        <v>Medium</v>
      </c>
    </row>
    <row r="371" spans="1:12" x14ac:dyDescent="0.3">
      <c r="A371" t="s">
        <v>1368</v>
      </c>
      <c r="B371" t="s">
        <v>1369</v>
      </c>
      <c r="C371" t="s">
        <v>1370</v>
      </c>
      <c r="D371" t="s">
        <v>123</v>
      </c>
      <c r="E371" t="s">
        <v>55</v>
      </c>
      <c r="F371">
        <v>2</v>
      </c>
      <c r="G371" s="1">
        <v>714453</v>
      </c>
      <c r="H371" s="1">
        <v>1428906</v>
      </c>
      <c r="I371" t="s">
        <v>1371</v>
      </c>
      <c r="J371" t="s">
        <v>23</v>
      </c>
      <c r="K371" t="s">
        <v>18</v>
      </c>
      <c r="L371" t="str">
        <f t="shared" si="5"/>
        <v>Medium</v>
      </c>
    </row>
    <row r="372" spans="1:12" x14ac:dyDescent="0.3">
      <c r="A372" t="s">
        <v>1372</v>
      </c>
      <c r="B372" t="s">
        <v>1373</v>
      </c>
      <c r="C372" t="s">
        <v>1374</v>
      </c>
      <c r="D372" t="s">
        <v>50</v>
      </c>
      <c r="E372" t="s">
        <v>15</v>
      </c>
      <c r="F372">
        <v>5</v>
      </c>
      <c r="G372" s="1">
        <v>77137</v>
      </c>
      <c r="H372" s="1">
        <v>385685</v>
      </c>
      <c r="I372" t="s">
        <v>1320</v>
      </c>
      <c r="J372" t="s">
        <v>23</v>
      </c>
      <c r="K372" t="s">
        <v>46</v>
      </c>
      <c r="L372" t="str">
        <f t="shared" si="5"/>
        <v>Low</v>
      </c>
    </row>
    <row r="373" spans="1:12" x14ac:dyDescent="0.3">
      <c r="A373" t="s">
        <v>1375</v>
      </c>
      <c r="B373" t="s">
        <v>1376</v>
      </c>
      <c r="C373" t="s">
        <v>1377</v>
      </c>
      <c r="D373" t="s">
        <v>14</v>
      </c>
      <c r="E373" t="s">
        <v>40</v>
      </c>
      <c r="F373">
        <v>4</v>
      </c>
      <c r="G373" s="1">
        <v>50591</v>
      </c>
      <c r="H373" s="1">
        <v>202364</v>
      </c>
      <c r="I373" t="s">
        <v>1378</v>
      </c>
      <c r="J373" t="s">
        <v>17</v>
      </c>
      <c r="K373" t="s">
        <v>46</v>
      </c>
      <c r="L373" t="str">
        <f t="shared" si="5"/>
        <v>Low</v>
      </c>
    </row>
    <row r="374" spans="1:12" x14ac:dyDescent="0.3">
      <c r="A374" t="s">
        <v>1379</v>
      </c>
      <c r="B374" t="s">
        <v>1380</v>
      </c>
      <c r="C374" t="s">
        <v>1381</v>
      </c>
      <c r="D374" t="s">
        <v>27</v>
      </c>
      <c r="E374" t="s">
        <v>34</v>
      </c>
      <c r="F374">
        <v>4</v>
      </c>
      <c r="G374" s="1">
        <v>1231339</v>
      </c>
      <c r="H374" s="1">
        <v>4925356</v>
      </c>
      <c r="I374" t="s">
        <v>1256</v>
      </c>
      <c r="J374" t="s">
        <v>17</v>
      </c>
      <c r="K374" t="s">
        <v>18</v>
      </c>
      <c r="L374" t="str">
        <f t="shared" si="5"/>
        <v>High</v>
      </c>
    </row>
    <row r="375" spans="1:12" x14ac:dyDescent="0.3">
      <c r="A375" t="s">
        <v>1382</v>
      </c>
      <c r="B375" t="s">
        <v>1383</v>
      </c>
      <c r="C375" t="s">
        <v>1384</v>
      </c>
      <c r="D375" t="s">
        <v>27</v>
      </c>
      <c r="E375" t="s">
        <v>74</v>
      </c>
      <c r="F375">
        <v>5</v>
      </c>
      <c r="G375" s="1">
        <v>1470594</v>
      </c>
      <c r="H375" s="1">
        <v>7352970</v>
      </c>
      <c r="I375" t="s">
        <v>697</v>
      </c>
      <c r="J375" t="s">
        <v>17</v>
      </c>
      <c r="K375" t="s">
        <v>18</v>
      </c>
      <c r="L375" t="str">
        <f t="shared" si="5"/>
        <v>High</v>
      </c>
    </row>
    <row r="376" spans="1:12" x14ac:dyDescent="0.3">
      <c r="A376" t="s">
        <v>1385</v>
      </c>
      <c r="B376" t="s">
        <v>1386</v>
      </c>
      <c r="C376" t="s">
        <v>1387</v>
      </c>
      <c r="D376" t="s">
        <v>14</v>
      </c>
      <c r="E376" t="s">
        <v>34</v>
      </c>
      <c r="F376">
        <v>2</v>
      </c>
      <c r="G376" s="1">
        <v>1225553</v>
      </c>
      <c r="H376" s="1">
        <v>2451106</v>
      </c>
      <c r="I376" t="s">
        <v>320</v>
      </c>
      <c r="J376" t="s">
        <v>23</v>
      </c>
      <c r="K376" t="s">
        <v>29</v>
      </c>
      <c r="L376" t="str">
        <f t="shared" si="5"/>
        <v>High</v>
      </c>
    </row>
    <row r="377" spans="1:12" x14ac:dyDescent="0.3">
      <c r="A377" t="s">
        <v>1388</v>
      </c>
      <c r="B377" t="s">
        <v>1389</v>
      </c>
      <c r="C377" t="s">
        <v>1390</v>
      </c>
      <c r="D377" t="s">
        <v>33</v>
      </c>
      <c r="E377" t="s">
        <v>163</v>
      </c>
      <c r="F377">
        <v>3</v>
      </c>
      <c r="G377" s="1">
        <v>189739</v>
      </c>
      <c r="H377" s="1">
        <v>569217</v>
      </c>
      <c r="I377" t="s">
        <v>1391</v>
      </c>
      <c r="J377" t="s">
        <v>17</v>
      </c>
      <c r="K377" t="s">
        <v>18</v>
      </c>
      <c r="L377" t="str">
        <f t="shared" si="5"/>
        <v>Medium</v>
      </c>
    </row>
    <row r="378" spans="1:12" x14ac:dyDescent="0.3">
      <c r="A378" t="s">
        <v>1392</v>
      </c>
      <c r="B378" t="s">
        <v>1393</v>
      </c>
      <c r="C378" t="s">
        <v>1394</v>
      </c>
      <c r="D378" t="s">
        <v>39</v>
      </c>
      <c r="E378" t="s">
        <v>163</v>
      </c>
      <c r="F378">
        <v>2</v>
      </c>
      <c r="G378" s="1">
        <v>561982</v>
      </c>
      <c r="H378" s="1">
        <v>1123964</v>
      </c>
      <c r="I378" t="s">
        <v>1395</v>
      </c>
      <c r="J378" t="s">
        <v>17</v>
      </c>
      <c r="K378" t="s">
        <v>18</v>
      </c>
      <c r="L378" t="str">
        <f t="shared" si="5"/>
        <v>Medium</v>
      </c>
    </row>
    <row r="379" spans="1:12" x14ac:dyDescent="0.3">
      <c r="A379" t="s">
        <v>1396</v>
      </c>
      <c r="B379" t="s">
        <v>1397</v>
      </c>
      <c r="C379" t="s">
        <v>1398</v>
      </c>
      <c r="D379" t="s">
        <v>50</v>
      </c>
      <c r="E379" t="s">
        <v>74</v>
      </c>
      <c r="F379">
        <v>4</v>
      </c>
      <c r="G379" s="1">
        <v>170500</v>
      </c>
      <c r="H379" s="1">
        <v>682000</v>
      </c>
      <c r="I379" t="s">
        <v>1256</v>
      </c>
      <c r="J379" t="s">
        <v>17</v>
      </c>
      <c r="K379" t="s">
        <v>18</v>
      </c>
      <c r="L379" t="str">
        <f t="shared" si="5"/>
        <v>Medium</v>
      </c>
    </row>
    <row r="380" spans="1:12" x14ac:dyDescent="0.3">
      <c r="A380" t="s">
        <v>1399</v>
      </c>
      <c r="B380" t="s">
        <v>1400</v>
      </c>
      <c r="C380" t="s">
        <v>1401</v>
      </c>
      <c r="D380" t="s">
        <v>39</v>
      </c>
      <c r="E380" t="s">
        <v>15</v>
      </c>
      <c r="F380">
        <v>1</v>
      </c>
      <c r="G380" s="1">
        <v>729586</v>
      </c>
      <c r="H380" s="1">
        <v>729586</v>
      </c>
      <c r="I380" t="s">
        <v>1402</v>
      </c>
      <c r="J380" t="s">
        <v>17</v>
      </c>
      <c r="K380" t="s">
        <v>18</v>
      </c>
      <c r="L380" t="str">
        <f t="shared" si="5"/>
        <v>Medium</v>
      </c>
    </row>
    <row r="381" spans="1:12" x14ac:dyDescent="0.3">
      <c r="A381" t="s">
        <v>1403</v>
      </c>
      <c r="B381" t="s">
        <v>1404</v>
      </c>
      <c r="C381" t="s">
        <v>1405</v>
      </c>
      <c r="D381" t="s">
        <v>27</v>
      </c>
      <c r="E381" t="s">
        <v>34</v>
      </c>
      <c r="F381">
        <v>4</v>
      </c>
      <c r="G381" s="1">
        <v>682369</v>
      </c>
      <c r="H381" s="1">
        <v>2729476</v>
      </c>
      <c r="I381" t="s">
        <v>1161</v>
      </c>
      <c r="J381" t="s">
        <v>17</v>
      </c>
      <c r="K381" t="s">
        <v>46</v>
      </c>
      <c r="L381" t="str">
        <f t="shared" si="5"/>
        <v>High</v>
      </c>
    </row>
    <row r="382" spans="1:12" x14ac:dyDescent="0.3">
      <c r="A382" t="s">
        <v>1406</v>
      </c>
      <c r="B382" t="s">
        <v>1407</v>
      </c>
      <c r="C382" t="s">
        <v>1408</v>
      </c>
      <c r="D382" t="s">
        <v>14</v>
      </c>
      <c r="E382" t="s">
        <v>69</v>
      </c>
      <c r="F382">
        <v>2</v>
      </c>
      <c r="G382" s="1">
        <v>700368</v>
      </c>
      <c r="H382" s="1">
        <v>1400736</v>
      </c>
      <c r="I382" t="s">
        <v>22</v>
      </c>
      <c r="J382" t="s">
        <v>17</v>
      </c>
      <c r="K382" t="s">
        <v>18</v>
      </c>
      <c r="L382" t="str">
        <f t="shared" si="5"/>
        <v>Medium</v>
      </c>
    </row>
    <row r="383" spans="1:12" x14ac:dyDescent="0.3">
      <c r="A383" t="s">
        <v>1409</v>
      </c>
      <c r="B383" t="s">
        <v>1410</v>
      </c>
      <c r="C383" t="s">
        <v>1411</v>
      </c>
      <c r="D383" t="s">
        <v>33</v>
      </c>
      <c r="E383" t="s">
        <v>163</v>
      </c>
      <c r="F383">
        <v>4</v>
      </c>
      <c r="G383" s="1">
        <v>403666</v>
      </c>
      <c r="H383" s="1">
        <v>1614664</v>
      </c>
      <c r="I383" t="s">
        <v>1064</v>
      </c>
      <c r="J383" t="s">
        <v>23</v>
      </c>
      <c r="K383" t="s">
        <v>29</v>
      </c>
      <c r="L383" t="str">
        <f t="shared" si="5"/>
        <v>Medium</v>
      </c>
    </row>
    <row r="384" spans="1:12" x14ac:dyDescent="0.3">
      <c r="A384" t="s">
        <v>1412</v>
      </c>
      <c r="B384" t="s">
        <v>1413</v>
      </c>
      <c r="C384" t="s">
        <v>1414</v>
      </c>
      <c r="D384" t="s">
        <v>50</v>
      </c>
      <c r="E384" t="s">
        <v>40</v>
      </c>
      <c r="F384">
        <v>2</v>
      </c>
      <c r="G384" s="1">
        <v>1052809</v>
      </c>
      <c r="H384" s="1">
        <v>2105618</v>
      </c>
      <c r="I384" t="s">
        <v>787</v>
      </c>
      <c r="J384" t="s">
        <v>17</v>
      </c>
      <c r="K384" t="s">
        <v>46</v>
      </c>
      <c r="L384" t="str">
        <f t="shared" si="5"/>
        <v>High</v>
      </c>
    </row>
    <row r="385" spans="1:12" x14ac:dyDescent="0.3">
      <c r="A385" t="s">
        <v>1415</v>
      </c>
      <c r="B385" t="s">
        <v>1416</v>
      </c>
      <c r="C385" t="s">
        <v>1417</v>
      </c>
      <c r="D385" t="s">
        <v>64</v>
      </c>
      <c r="E385" t="s">
        <v>74</v>
      </c>
      <c r="F385">
        <v>3</v>
      </c>
      <c r="G385" s="1">
        <v>1052395</v>
      </c>
      <c r="H385" s="1">
        <v>3157185</v>
      </c>
      <c r="I385" t="s">
        <v>990</v>
      </c>
      <c r="J385" t="s">
        <v>17</v>
      </c>
      <c r="K385" t="s">
        <v>18</v>
      </c>
      <c r="L385" t="str">
        <f t="shared" si="5"/>
        <v>High</v>
      </c>
    </row>
    <row r="386" spans="1:12" x14ac:dyDescent="0.3">
      <c r="A386" t="s">
        <v>1418</v>
      </c>
      <c r="B386" t="s">
        <v>1419</v>
      </c>
      <c r="C386" t="s">
        <v>1420</v>
      </c>
      <c r="D386" t="s">
        <v>39</v>
      </c>
      <c r="E386" t="s">
        <v>55</v>
      </c>
      <c r="F386">
        <v>1</v>
      </c>
      <c r="G386" s="1">
        <v>541996</v>
      </c>
      <c r="H386" s="1">
        <v>541996</v>
      </c>
      <c r="I386" t="s">
        <v>505</v>
      </c>
      <c r="J386" t="s">
        <v>17</v>
      </c>
      <c r="K386" t="s">
        <v>18</v>
      </c>
      <c r="L386" t="str">
        <f t="shared" si="5"/>
        <v>Medium</v>
      </c>
    </row>
    <row r="387" spans="1:12" x14ac:dyDescent="0.3">
      <c r="A387" t="s">
        <v>1421</v>
      </c>
      <c r="B387" t="s">
        <v>1422</v>
      </c>
      <c r="C387" t="s">
        <v>1423</v>
      </c>
      <c r="D387" t="s">
        <v>50</v>
      </c>
      <c r="E387" t="s">
        <v>69</v>
      </c>
      <c r="F387">
        <v>4</v>
      </c>
      <c r="G387" s="1">
        <v>1441399</v>
      </c>
      <c r="H387" s="1">
        <v>5765596</v>
      </c>
      <c r="I387" t="s">
        <v>906</v>
      </c>
      <c r="J387" t="s">
        <v>17</v>
      </c>
      <c r="K387" t="s">
        <v>46</v>
      </c>
      <c r="L387" t="str">
        <f t="shared" ref="L387:L450" si="6">IF(H387&gt;2000000,"High",IF(H387&gt;500000,"Medium","Low"))</f>
        <v>High</v>
      </c>
    </row>
    <row r="388" spans="1:12" x14ac:dyDescent="0.3">
      <c r="A388" t="s">
        <v>1424</v>
      </c>
      <c r="B388" t="s">
        <v>1425</v>
      </c>
      <c r="C388" t="s">
        <v>1426</v>
      </c>
      <c r="D388" t="s">
        <v>50</v>
      </c>
      <c r="E388" t="s">
        <v>40</v>
      </c>
      <c r="F388">
        <v>2</v>
      </c>
      <c r="G388" s="1">
        <v>1337185</v>
      </c>
      <c r="H388" s="1">
        <v>2674370</v>
      </c>
      <c r="I388" t="s">
        <v>1427</v>
      </c>
      <c r="J388" t="s">
        <v>23</v>
      </c>
      <c r="K388" t="s">
        <v>18</v>
      </c>
      <c r="L388" t="str">
        <f t="shared" si="6"/>
        <v>High</v>
      </c>
    </row>
    <row r="389" spans="1:12" x14ac:dyDescent="0.3">
      <c r="A389" t="s">
        <v>1428</v>
      </c>
      <c r="B389" t="s">
        <v>1429</v>
      </c>
      <c r="C389" t="s">
        <v>1430</v>
      </c>
      <c r="D389" t="s">
        <v>123</v>
      </c>
      <c r="E389" t="s">
        <v>15</v>
      </c>
      <c r="F389">
        <v>2</v>
      </c>
      <c r="G389" s="1">
        <v>1405408</v>
      </c>
      <c r="H389" s="1">
        <v>2810816</v>
      </c>
      <c r="I389" t="s">
        <v>339</v>
      </c>
      <c r="J389" t="s">
        <v>17</v>
      </c>
      <c r="K389" t="s">
        <v>18</v>
      </c>
      <c r="L389" t="str">
        <f t="shared" si="6"/>
        <v>High</v>
      </c>
    </row>
    <row r="390" spans="1:12" x14ac:dyDescent="0.3">
      <c r="A390" t="s">
        <v>1431</v>
      </c>
      <c r="B390" t="s">
        <v>1432</v>
      </c>
      <c r="C390" t="s">
        <v>1433</v>
      </c>
      <c r="D390" t="s">
        <v>14</v>
      </c>
      <c r="E390" t="s">
        <v>15</v>
      </c>
      <c r="F390">
        <v>3</v>
      </c>
      <c r="G390" s="1">
        <v>722001</v>
      </c>
      <c r="H390" s="1">
        <v>2166003</v>
      </c>
      <c r="I390" t="s">
        <v>159</v>
      </c>
      <c r="J390" t="s">
        <v>23</v>
      </c>
      <c r="K390" t="s">
        <v>18</v>
      </c>
      <c r="L390" t="str">
        <f t="shared" si="6"/>
        <v>High</v>
      </c>
    </row>
    <row r="391" spans="1:12" x14ac:dyDescent="0.3">
      <c r="A391" t="s">
        <v>1434</v>
      </c>
      <c r="B391" t="s">
        <v>1435</v>
      </c>
      <c r="C391" t="s">
        <v>1436</v>
      </c>
      <c r="D391" t="s">
        <v>27</v>
      </c>
      <c r="E391" t="s">
        <v>69</v>
      </c>
      <c r="F391">
        <v>4</v>
      </c>
      <c r="G391" s="1">
        <v>845738</v>
      </c>
      <c r="H391" s="1">
        <v>3382952</v>
      </c>
      <c r="I391" t="s">
        <v>1210</v>
      </c>
      <c r="J391" t="s">
        <v>23</v>
      </c>
      <c r="K391" t="s">
        <v>46</v>
      </c>
      <c r="L391" t="str">
        <f t="shared" si="6"/>
        <v>High</v>
      </c>
    </row>
    <row r="392" spans="1:12" x14ac:dyDescent="0.3">
      <c r="A392" t="s">
        <v>1437</v>
      </c>
      <c r="B392" t="s">
        <v>1438</v>
      </c>
      <c r="C392" t="s">
        <v>1439</v>
      </c>
      <c r="D392" t="s">
        <v>50</v>
      </c>
      <c r="E392" t="s">
        <v>40</v>
      </c>
      <c r="F392">
        <v>5</v>
      </c>
      <c r="G392" s="1">
        <v>249347</v>
      </c>
      <c r="H392" s="1">
        <v>1246735</v>
      </c>
      <c r="I392" t="s">
        <v>1091</v>
      </c>
      <c r="J392" t="s">
        <v>17</v>
      </c>
      <c r="K392" t="s">
        <v>29</v>
      </c>
      <c r="L392" t="str">
        <f t="shared" si="6"/>
        <v>Medium</v>
      </c>
    </row>
    <row r="393" spans="1:12" x14ac:dyDescent="0.3">
      <c r="A393" t="s">
        <v>1440</v>
      </c>
      <c r="B393" t="s">
        <v>1441</v>
      </c>
      <c r="C393" t="s">
        <v>1442</v>
      </c>
      <c r="D393" t="s">
        <v>14</v>
      </c>
      <c r="E393" t="s">
        <v>55</v>
      </c>
      <c r="F393">
        <v>4</v>
      </c>
      <c r="G393" s="1">
        <v>562144</v>
      </c>
      <c r="H393" s="1">
        <v>2248576</v>
      </c>
      <c r="I393" t="s">
        <v>1214</v>
      </c>
      <c r="J393" t="s">
        <v>23</v>
      </c>
      <c r="K393" t="s">
        <v>29</v>
      </c>
      <c r="L393" t="str">
        <f t="shared" si="6"/>
        <v>High</v>
      </c>
    </row>
    <row r="394" spans="1:12" x14ac:dyDescent="0.3">
      <c r="A394" t="s">
        <v>1443</v>
      </c>
      <c r="B394" t="s">
        <v>1444</v>
      </c>
      <c r="C394" t="s">
        <v>1445</v>
      </c>
      <c r="D394" t="s">
        <v>123</v>
      </c>
      <c r="E394" t="s">
        <v>69</v>
      </c>
      <c r="F394">
        <v>5</v>
      </c>
      <c r="G394" s="1">
        <v>1307397</v>
      </c>
      <c r="H394" s="1">
        <v>6536985</v>
      </c>
      <c r="I394" t="s">
        <v>1446</v>
      </c>
      <c r="J394" t="s">
        <v>17</v>
      </c>
      <c r="K394" t="s">
        <v>18</v>
      </c>
      <c r="L394" t="str">
        <f t="shared" si="6"/>
        <v>High</v>
      </c>
    </row>
    <row r="395" spans="1:12" x14ac:dyDescent="0.3">
      <c r="A395" t="s">
        <v>1447</v>
      </c>
      <c r="B395" t="s">
        <v>1448</v>
      </c>
      <c r="C395" t="s">
        <v>1449</v>
      </c>
      <c r="D395" t="s">
        <v>39</v>
      </c>
      <c r="E395" t="s">
        <v>69</v>
      </c>
      <c r="F395">
        <v>1</v>
      </c>
      <c r="G395" s="1">
        <v>1096248</v>
      </c>
      <c r="H395" s="1">
        <v>1096248</v>
      </c>
      <c r="I395" t="s">
        <v>906</v>
      </c>
      <c r="J395" t="s">
        <v>17</v>
      </c>
      <c r="K395" t="s">
        <v>29</v>
      </c>
      <c r="L395" t="str">
        <f t="shared" si="6"/>
        <v>Medium</v>
      </c>
    </row>
    <row r="396" spans="1:12" x14ac:dyDescent="0.3">
      <c r="A396" t="s">
        <v>1450</v>
      </c>
      <c r="B396" t="s">
        <v>1451</v>
      </c>
      <c r="C396" t="s">
        <v>1452</v>
      </c>
      <c r="D396" t="s">
        <v>33</v>
      </c>
      <c r="E396" t="s">
        <v>55</v>
      </c>
      <c r="F396">
        <v>4</v>
      </c>
      <c r="G396" s="1">
        <v>151499</v>
      </c>
      <c r="H396" s="1">
        <v>605996</v>
      </c>
      <c r="I396" t="s">
        <v>1008</v>
      </c>
      <c r="J396" t="s">
        <v>17</v>
      </c>
      <c r="K396" t="s">
        <v>46</v>
      </c>
      <c r="L396" t="str">
        <f t="shared" si="6"/>
        <v>Medium</v>
      </c>
    </row>
    <row r="397" spans="1:12" x14ac:dyDescent="0.3">
      <c r="A397" t="s">
        <v>1453</v>
      </c>
      <c r="B397" t="s">
        <v>1454</v>
      </c>
      <c r="C397" t="s">
        <v>1455</v>
      </c>
      <c r="D397" t="s">
        <v>27</v>
      </c>
      <c r="E397" t="s">
        <v>34</v>
      </c>
      <c r="F397">
        <v>4</v>
      </c>
      <c r="G397" s="1">
        <v>276183</v>
      </c>
      <c r="H397" s="1">
        <v>1104732</v>
      </c>
      <c r="I397" t="s">
        <v>1456</v>
      </c>
      <c r="J397" t="s">
        <v>17</v>
      </c>
      <c r="K397" t="s">
        <v>29</v>
      </c>
      <c r="L397" t="str">
        <f t="shared" si="6"/>
        <v>Medium</v>
      </c>
    </row>
    <row r="398" spans="1:12" x14ac:dyDescent="0.3">
      <c r="A398" t="s">
        <v>1457</v>
      </c>
      <c r="B398" t="s">
        <v>1458</v>
      </c>
      <c r="C398" t="s">
        <v>1459</v>
      </c>
      <c r="D398" t="s">
        <v>50</v>
      </c>
      <c r="E398" t="s">
        <v>15</v>
      </c>
      <c r="F398">
        <v>1</v>
      </c>
      <c r="G398" s="1">
        <v>882157</v>
      </c>
      <c r="H398" s="1">
        <v>882157</v>
      </c>
      <c r="I398" t="s">
        <v>1460</v>
      </c>
      <c r="J398" t="s">
        <v>23</v>
      </c>
      <c r="K398" t="s">
        <v>29</v>
      </c>
      <c r="L398" t="str">
        <f t="shared" si="6"/>
        <v>Medium</v>
      </c>
    </row>
    <row r="399" spans="1:12" x14ac:dyDescent="0.3">
      <c r="A399" t="s">
        <v>1461</v>
      </c>
      <c r="B399" t="s">
        <v>1462</v>
      </c>
      <c r="C399" t="s">
        <v>1463</v>
      </c>
      <c r="D399" t="s">
        <v>33</v>
      </c>
      <c r="E399" t="s">
        <v>40</v>
      </c>
      <c r="F399">
        <v>2</v>
      </c>
      <c r="G399" s="1">
        <v>360305</v>
      </c>
      <c r="H399" s="1">
        <v>720610</v>
      </c>
      <c r="I399" t="s">
        <v>705</v>
      </c>
      <c r="J399" t="s">
        <v>17</v>
      </c>
      <c r="K399" t="s">
        <v>46</v>
      </c>
      <c r="L399" t="str">
        <f t="shared" si="6"/>
        <v>Medium</v>
      </c>
    </row>
    <row r="400" spans="1:12" x14ac:dyDescent="0.3">
      <c r="A400" t="s">
        <v>1464</v>
      </c>
      <c r="B400" t="s">
        <v>1465</v>
      </c>
      <c r="C400" t="s">
        <v>1466</v>
      </c>
      <c r="D400" t="s">
        <v>50</v>
      </c>
      <c r="E400" t="s">
        <v>34</v>
      </c>
      <c r="F400">
        <v>1</v>
      </c>
      <c r="G400" s="1">
        <v>612923</v>
      </c>
      <c r="H400" s="1">
        <v>612923</v>
      </c>
      <c r="I400" t="s">
        <v>1467</v>
      </c>
      <c r="J400" t="s">
        <v>17</v>
      </c>
      <c r="K400" t="s">
        <v>18</v>
      </c>
      <c r="L400" t="str">
        <f t="shared" si="6"/>
        <v>Medium</v>
      </c>
    </row>
    <row r="401" spans="1:12" x14ac:dyDescent="0.3">
      <c r="A401" t="s">
        <v>1468</v>
      </c>
      <c r="B401" t="s">
        <v>1469</v>
      </c>
      <c r="C401" t="s">
        <v>1470</v>
      </c>
      <c r="D401" t="s">
        <v>123</v>
      </c>
      <c r="E401" t="s">
        <v>163</v>
      </c>
      <c r="F401">
        <v>5</v>
      </c>
      <c r="G401" s="1">
        <v>1410908</v>
      </c>
      <c r="H401" s="1">
        <v>7054540</v>
      </c>
      <c r="I401" t="s">
        <v>1141</v>
      </c>
      <c r="J401" t="s">
        <v>23</v>
      </c>
      <c r="K401" t="s">
        <v>29</v>
      </c>
      <c r="L401" t="str">
        <f t="shared" si="6"/>
        <v>High</v>
      </c>
    </row>
    <row r="402" spans="1:12" x14ac:dyDescent="0.3">
      <c r="A402" t="s">
        <v>1471</v>
      </c>
      <c r="B402" t="s">
        <v>1472</v>
      </c>
      <c r="C402" t="s">
        <v>1473</v>
      </c>
      <c r="D402" t="s">
        <v>27</v>
      </c>
      <c r="E402" t="s">
        <v>163</v>
      </c>
      <c r="F402">
        <v>5</v>
      </c>
      <c r="G402" s="1">
        <v>666678</v>
      </c>
      <c r="H402" s="1">
        <v>3333390</v>
      </c>
      <c r="I402" t="s">
        <v>1098</v>
      </c>
      <c r="J402" t="s">
        <v>23</v>
      </c>
      <c r="K402" t="s">
        <v>46</v>
      </c>
      <c r="L402" t="str">
        <f t="shared" si="6"/>
        <v>High</v>
      </c>
    </row>
    <row r="403" spans="1:12" x14ac:dyDescent="0.3">
      <c r="A403" t="s">
        <v>1474</v>
      </c>
      <c r="B403" t="s">
        <v>1475</v>
      </c>
      <c r="C403" t="s">
        <v>1476</v>
      </c>
      <c r="D403" t="s">
        <v>123</v>
      </c>
      <c r="E403" t="s">
        <v>74</v>
      </c>
      <c r="F403">
        <v>1</v>
      </c>
      <c r="G403" s="1">
        <v>289637</v>
      </c>
      <c r="H403" s="1">
        <v>289637</v>
      </c>
      <c r="I403" t="s">
        <v>41</v>
      </c>
      <c r="J403" t="s">
        <v>17</v>
      </c>
      <c r="K403" t="s">
        <v>46</v>
      </c>
      <c r="L403" t="str">
        <f t="shared" si="6"/>
        <v>Low</v>
      </c>
    </row>
    <row r="404" spans="1:12" x14ac:dyDescent="0.3">
      <c r="A404" t="s">
        <v>1477</v>
      </c>
      <c r="B404" t="s">
        <v>1478</v>
      </c>
      <c r="C404" t="s">
        <v>1479</v>
      </c>
      <c r="D404" t="s">
        <v>33</v>
      </c>
      <c r="E404" t="s">
        <v>34</v>
      </c>
      <c r="F404">
        <v>1</v>
      </c>
      <c r="G404" s="1">
        <v>1151126</v>
      </c>
      <c r="H404" s="1">
        <v>1151126</v>
      </c>
      <c r="I404" t="s">
        <v>906</v>
      </c>
      <c r="J404" t="s">
        <v>17</v>
      </c>
      <c r="K404" t="s">
        <v>46</v>
      </c>
      <c r="L404" t="str">
        <f t="shared" si="6"/>
        <v>Medium</v>
      </c>
    </row>
    <row r="405" spans="1:12" x14ac:dyDescent="0.3">
      <c r="A405" t="s">
        <v>1480</v>
      </c>
      <c r="B405" t="s">
        <v>1481</v>
      </c>
      <c r="C405" t="s">
        <v>1482</v>
      </c>
      <c r="D405" t="s">
        <v>50</v>
      </c>
      <c r="E405" t="s">
        <v>69</v>
      </c>
      <c r="F405">
        <v>1</v>
      </c>
      <c r="G405" s="1">
        <v>963724</v>
      </c>
      <c r="H405" s="1">
        <v>963724</v>
      </c>
      <c r="I405" t="s">
        <v>1483</v>
      </c>
      <c r="J405" t="s">
        <v>17</v>
      </c>
      <c r="K405" t="s">
        <v>18</v>
      </c>
      <c r="L405" t="str">
        <f t="shared" si="6"/>
        <v>Medium</v>
      </c>
    </row>
    <row r="406" spans="1:12" x14ac:dyDescent="0.3">
      <c r="A406" t="s">
        <v>1484</v>
      </c>
      <c r="B406" t="s">
        <v>1485</v>
      </c>
      <c r="C406" t="s">
        <v>1486</v>
      </c>
      <c r="D406" t="s">
        <v>39</v>
      </c>
      <c r="E406" t="s">
        <v>40</v>
      </c>
      <c r="F406">
        <v>5</v>
      </c>
      <c r="G406" s="1">
        <v>1172990</v>
      </c>
      <c r="H406" s="1">
        <v>5864950</v>
      </c>
      <c r="I406" t="s">
        <v>843</v>
      </c>
      <c r="J406" t="s">
        <v>17</v>
      </c>
      <c r="K406" t="s">
        <v>46</v>
      </c>
      <c r="L406" t="str">
        <f t="shared" si="6"/>
        <v>High</v>
      </c>
    </row>
    <row r="407" spans="1:12" x14ac:dyDescent="0.3">
      <c r="A407" t="s">
        <v>1487</v>
      </c>
      <c r="B407" t="s">
        <v>1488</v>
      </c>
      <c r="C407" t="s">
        <v>1489</v>
      </c>
      <c r="D407" t="s">
        <v>64</v>
      </c>
      <c r="E407" t="s">
        <v>69</v>
      </c>
      <c r="F407">
        <v>2</v>
      </c>
      <c r="G407" s="1">
        <v>1020009</v>
      </c>
      <c r="H407" s="1">
        <v>2040018</v>
      </c>
      <c r="I407" t="s">
        <v>1091</v>
      </c>
      <c r="J407" t="s">
        <v>17</v>
      </c>
      <c r="K407" t="s">
        <v>29</v>
      </c>
      <c r="L407" t="str">
        <f t="shared" si="6"/>
        <v>High</v>
      </c>
    </row>
    <row r="408" spans="1:12" x14ac:dyDescent="0.3">
      <c r="A408" t="s">
        <v>1490</v>
      </c>
      <c r="B408" t="s">
        <v>1491</v>
      </c>
      <c r="C408" t="s">
        <v>1492</v>
      </c>
      <c r="D408" t="s">
        <v>33</v>
      </c>
      <c r="E408" t="s">
        <v>55</v>
      </c>
      <c r="F408">
        <v>5</v>
      </c>
      <c r="G408" s="1">
        <v>1405729</v>
      </c>
      <c r="H408" s="1">
        <v>7028645</v>
      </c>
      <c r="I408" t="s">
        <v>439</v>
      </c>
      <c r="J408" t="s">
        <v>17</v>
      </c>
      <c r="K408" t="s">
        <v>46</v>
      </c>
      <c r="L408" t="str">
        <f t="shared" si="6"/>
        <v>High</v>
      </c>
    </row>
    <row r="409" spans="1:12" x14ac:dyDescent="0.3">
      <c r="A409" t="s">
        <v>1493</v>
      </c>
      <c r="B409" t="s">
        <v>1494</v>
      </c>
      <c r="C409" t="s">
        <v>1495</v>
      </c>
      <c r="D409" t="s">
        <v>39</v>
      </c>
      <c r="E409" t="s">
        <v>69</v>
      </c>
      <c r="F409">
        <v>5</v>
      </c>
      <c r="G409" s="1">
        <v>288555</v>
      </c>
      <c r="H409" s="1">
        <v>1442775</v>
      </c>
      <c r="I409" t="s">
        <v>1496</v>
      </c>
      <c r="J409" t="s">
        <v>17</v>
      </c>
      <c r="K409" t="s">
        <v>18</v>
      </c>
      <c r="L409" t="str">
        <f t="shared" si="6"/>
        <v>Medium</v>
      </c>
    </row>
    <row r="410" spans="1:12" x14ac:dyDescent="0.3">
      <c r="A410" t="s">
        <v>1497</v>
      </c>
      <c r="B410" t="s">
        <v>1498</v>
      </c>
      <c r="C410" t="s">
        <v>1499</v>
      </c>
      <c r="D410" t="s">
        <v>39</v>
      </c>
      <c r="E410" t="s">
        <v>34</v>
      </c>
      <c r="F410">
        <v>4</v>
      </c>
      <c r="G410" s="1">
        <v>1332820</v>
      </c>
      <c r="H410" s="1">
        <v>5331280</v>
      </c>
      <c r="I410" t="s">
        <v>159</v>
      </c>
      <c r="J410" t="s">
        <v>17</v>
      </c>
      <c r="K410" t="s">
        <v>18</v>
      </c>
      <c r="L410" t="str">
        <f t="shared" si="6"/>
        <v>High</v>
      </c>
    </row>
    <row r="411" spans="1:12" x14ac:dyDescent="0.3">
      <c r="A411" t="s">
        <v>1500</v>
      </c>
      <c r="B411" t="s">
        <v>1501</v>
      </c>
      <c r="C411" t="s">
        <v>1502</v>
      </c>
      <c r="D411" t="s">
        <v>14</v>
      </c>
      <c r="E411" t="s">
        <v>74</v>
      </c>
      <c r="F411">
        <v>5</v>
      </c>
      <c r="G411" s="1">
        <v>363448</v>
      </c>
      <c r="H411" s="1">
        <v>1817240</v>
      </c>
      <c r="I411" t="s">
        <v>296</v>
      </c>
      <c r="J411" t="s">
        <v>23</v>
      </c>
      <c r="K411" t="s">
        <v>29</v>
      </c>
      <c r="L411" t="str">
        <f t="shared" si="6"/>
        <v>Medium</v>
      </c>
    </row>
    <row r="412" spans="1:12" x14ac:dyDescent="0.3">
      <c r="A412" t="s">
        <v>1503</v>
      </c>
      <c r="B412" t="s">
        <v>1504</v>
      </c>
      <c r="C412" t="s">
        <v>1505</v>
      </c>
      <c r="D412" t="s">
        <v>27</v>
      </c>
      <c r="E412" t="s">
        <v>74</v>
      </c>
      <c r="F412">
        <v>5</v>
      </c>
      <c r="G412" s="1">
        <v>424738</v>
      </c>
      <c r="H412" s="1">
        <v>2123690</v>
      </c>
      <c r="I412" t="s">
        <v>1506</v>
      </c>
      <c r="J412" t="s">
        <v>17</v>
      </c>
      <c r="K412" t="s">
        <v>46</v>
      </c>
      <c r="L412" t="str">
        <f t="shared" si="6"/>
        <v>High</v>
      </c>
    </row>
    <row r="413" spans="1:12" x14ac:dyDescent="0.3">
      <c r="A413" t="s">
        <v>1507</v>
      </c>
      <c r="B413" t="s">
        <v>1508</v>
      </c>
      <c r="C413" t="s">
        <v>1509</v>
      </c>
      <c r="D413" t="s">
        <v>39</v>
      </c>
      <c r="E413" t="s">
        <v>74</v>
      </c>
      <c r="F413">
        <v>1</v>
      </c>
      <c r="G413" s="1">
        <v>894431</v>
      </c>
      <c r="H413" s="1">
        <v>894431</v>
      </c>
      <c r="I413" t="s">
        <v>1510</v>
      </c>
      <c r="J413" t="s">
        <v>23</v>
      </c>
      <c r="K413" t="s">
        <v>29</v>
      </c>
      <c r="L413" t="str">
        <f t="shared" si="6"/>
        <v>Medium</v>
      </c>
    </row>
    <row r="414" spans="1:12" x14ac:dyDescent="0.3">
      <c r="A414" t="s">
        <v>1511</v>
      </c>
      <c r="B414" t="s">
        <v>1512</v>
      </c>
      <c r="C414" t="s">
        <v>1513</v>
      </c>
      <c r="D414" t="s">
        <v>27</v>
      </c>
      <c r="E414" t="s">
        <v>40</v>
      </c>
      <c r="F414">
        <v>5</v>
      </c>
      <c r="G414" s="1">
        <v>648363</v>
      </c>
      <c r="H414" s="1">
        <v>3241815</v>
      </c>
      <c r="I414" t="s">
        <v>603</v>
      </c>
      <c r="J414" t="s">
        <v>17</v>
      </c>
      <c r="K414" t="s">
        <v>29</v>
      </c>
      <c r="L414" t="str">
        <f t="shared" si="6"/>
        <v>High</v>
      </c>
    </row>
    <row r="415" spans="1:12" x14ac:dyDescent="0.3">
      <c r="A415" t="s">
        <v>1514</v>
      </c>
      <c r="B415" t="s">
        <v>1515</v>
      </c>
      <c r="C415" t="s">
        <v>1516</v>
      </c>
      <c r="D415" t="s">
        <v>64</v>
      </c>
      <c r="E415" t="s">
        <v>34</v>
      </c>
      <c r="F415">
        <v>2</v>
      </c>
      <c r="G415" s="1">
        <v>1166471</v>
      </c>
      <c r="H415" s="1">
        <v>2332942</v>
      </c>
      <c r="I415" t="s">
        <v>1517</v>
      </c>
      <c r="J415" t="s">
        <v>17</v>
      </c>
      <c r="K415" t="s">
        <v>18</v>
      </c>
      <c r="L415" t="str">
        <f t="shared" si="6"/>
        <v>High</v>
      </c>
    </row>
    <row r="416" spans="1:12" x14ac:dyDescent="0.3">
      <c r="A416" t="s">
        <v>1518</v>
      </c>
      <c r="B416" t="s">
        <v>1519</v>
      </c>
      <c r="C416" t="s">
        <v>1520</v>
      </c>
      <c r="D416" t="s">
        <v>50</v>
      </c>
      <c r="E416" t="s">
        <v>163</v>
      </c>
      <c r="F416">
        <v>4</v>
      </c>
      <c r="G416" s="1">
        <v>812173</v>
      </c>
      <c r="H416" s="1">
        <v>3248692</v>
      </c>
      <c r="I416" t="s">
        <v>83</v>
      </c>
      <c r="J416" t="s">
        <v>23</v>
      </c>
      <c r="K416" t="s">
        <v>46</v>
      </c>
      <c r="L416" t="str">
        <f t="shared" si="6"/>
        <v>High</v>
      </c>
    </row>
    <row r="417" spans="1:12" x14ac:dyDescent="0.3">
      <c r="A417" t="s">
        <v>1521</v>
      </c>
      <c r="B417" t="s">
        <v>1522</v>
      </c>
      <c r="C417" t="s">
        <v>1523</v>
      </c>
      <c r="D417" t="s">
        <v>33</v>
      </c>
      <c r="E417" t="s">
        <v>163</v>
      </c>
      <c r="F417">
        <v>4</v>
      </c>
      <c r="G417" s="1">
        <v>1230392</v>
      </c>
      <c r="H417" s="1">
        <v>4921568</v>
      </c>
      <c r="I417" t="s">
        <v>136</v>
      </c>
      <c r="J417" t="s">
        <v>23</v>
      </c>
      <c r="K417" t="s">
        <v>29</v>
      </c>
      <c r="L417" t="str">
        <f t="shared" si="6"/>
        <v>High</v>
      </c>
    </row>
    <row r="418" spans="1:12" x14ac:dyDescent="0.3">
      <c r="A418" t="s">
        <v>1524</v>
      </c>
      <c r="B418" t="s">
        <v>1525</v>
      </c>
      <c r="C418" t="s">
        <v>1526</v>
      </c>
      <c r="D418" t="s">
        <v>64</v>
      </c>
      <c r="E418" t="s">
        <v>163</v>
      </c>
      <c r="F418">
        <v>3</v>
      </c>
      <c r="G418" s="1">
        <v>1149879</v>
      </c>
      <c r="H418" s="1">
        <v>3449637</v>
      </c>
      <c r="I418" t="s">
        <v>1137</v>
      </c>
      <c r="J418" t="s">
        <v>23</v>
      </c>
      <c r="K418" t="s">
        <v>29</v>
      </c>
      <c r="L418" t="str">
        <f t="shared" si="6"/>
        <v>High</v>
      </c>
    </row>
    <row r="419" spans="1:12" x14ac:dyDescent="0.3">
      <c r="A419" t="s">
        <v>1527</v>
      </c>
      <c r="B419" t="s">
        <v>1528</v>
      </c>
      <c r="C419" t="s">
        <v>1529</v>
      </c>
      <c r="D419" t="s">
        <v>50</v>
      </c>
      <c r="E419" t="s">
        <v>15</v>
      </c>
      <c r="F419">
        <v>4</v>
      </c>
      <c r="G419" s="1">
        <v>189201</v>
      </c>
      <c r="H419" s="1">
        <v>756804</v>
      </c>
      <c r="I419" t="s">
        <v>1530</v>
      </c>
      <c r="J419" t="s">
        <v>17</v>
      </c>
      <c r="K419" t="s">
        <v>18</v>
      </c>
      <c r="L419" t="str">
        <f t="shared" si="6"/>
        <v>Medium</v>
      </c>
    </row>
    <row r="420" spans="1:12" x14ac:dyDescent="0.3">
      <c r="A420" t="s">
        <v>1531</v>
      </c>
      <c r="B420" t="s">
        <v>1532</v>
      </c>
      <c r="C420" t="s">
        <v>1533</v>
      </c>
      <c r="D420" t="s">
        <v>27</v>
      </c>
      <c r="E420" t="s">
        <v>69</v>
      </c>
      <c r="F420">
        <v>4</v>
      </c>
      <c r="G420" s="1">
        <v>723175</v>
      </c>
      <c r="H420" s="1">
        <v>2892700</v>
      </c>
      <c r="I420" t="s">
        <v>1210</v>
      </c>
      <c r="J420" t="s">
        <v>17</v>
      </c>
      <c r="K420" t="s">
        <v>46</v>
      </c>
      <c r="L420" t="str">
        <f t="shared" si="6"/>
        <v>High</v>
      </c>
    </row>
    <row r="421" spans="1:12" x14ac:dyDescent="0.3">
      <c r="A421" t="s">
        <v>1534</v>
      </c>
      <c r="B421" t="s">
        <v>1535</v>
      </c>
      <c r="C421" t="s">
        <v>1536</v>
      </c>
      <c r="D421" t="s">
        <v>50</v>
      </c>
      <c r="E421" t="s">
        <v>55</v>
      </c>
      <c r="F421">
        <v>2</v>
      </c>
      <c r="G421" s="1">
        <v>1035724</v>
      </c>
      <c r="H421" s="1">
        <v>2071448</v>
      </c>
      <c r="I421" t="s">
        <v>1371</v>
      </c>
      <c r="J421" t="s">
        <v>23</v>
      </c>
      <c r="K421" t="s">
        <v>18</v>
      </c>
      <c r="L421" t="str">
        <f t="shared" si="6"/>
        <v>High</v>
      </c>
    </row>
    <row r="422" spans="1:12" x14ac:dyDescent="0.3">
      <c r="A422" t="s">
        <v>1537</v>
      </c>
      <c r="B422" t="s">
        <v>1538</v>
      </c>
      <c r="C422" t="s">
        <v>1539</v>
      </c>
      <c r="D422" t="s">
        <v>14</v>
      </c>
      <c r="E422" t="s">
        <v>34</v>
      </c>
      <c r="F422">
        <v>2</v>
      </c>
      <c r="G422" s="1">
        <v>648675</v>
      </c>
      <c r="H422" s="1">
        <v>1297350</v>
      </c>
      <c r="I422" t="s">
        <v>256</v>
      </c>
      <c r="J422" t="s">
        <v>17</v>
      </c>
      <c r="K422" t="s">
        <v>46</v>
      </c>
      <c r="L422" t="str">
        <f t="shared" si="6"/>
        <v>Medium</v>
      </c>
    </row>
    <row r="423" spans="1:12" x14ac:dyDescent="0.3">
      <c r="A423" t="s">
        <v>1540</v>
      </c>
      <c r="B423" t="s">
        <v>1541</v>
      </c>
      <c r="C423" t="s">
        <v>1542</v>
      </c>
      <c r="D423" t="s">
        <v>123</v>
      </c>
      <c r="E423" t="s">
        <v>69</v>
      </c>
      <c r="F423">
        <v>1</v>
      </c>
      <c r="G423" s="1">
        <v>1260263</v>
      </c>
      <c r="H423" s="1">
        <v>1260263</v>
      </c>
      <c r="I423" t="s">
        <v>725</v>
      </c>
      <c r="J423" t="s">
        <v>17</v>
      </c>
      <c r="K423" t="s">
        <v>18</v>
      </c>
      <c r="L423" t="str">
        <f t="shared" si="6"/>
        <v>Medium</v>
      </c>
    </row>
    <row r="424" spans="1:12" x14ac:dyDescent="0.3">
      <c r="A424" t="s">
        <v>1543</v>
      </c>
      <c r="B424" t="s">
        <v>1544</v>
      </c>
      <c r="C424" t="s">
        <v>1545</v>
      </c>
      <c r="D424" t="s">
        <v>123</v>
      </c>
      <c r="E424" t="s">
        <v>55</v>
      </c>
      <c r="F424">
        <v>2</v>
      </c>
      <c r="G424" s="1">
        <v>461562</v>
      </c>
      <c r="H424" s="1">
        <v>923124</v>
      </c>
      <c r="I424" t="s">
        <v>1161</v>
      </c>
      <c r="J424" t="s">
        <v>17</v>
      </c>
      <c r="K424" t="s">
        <v>46</v>
      </c>
      <c r="L424" t="str">
        <f t="shared" si="6"/>
        <v>Medium</v>
      </c>
    </row>
    <row r="425" spans="1:12" x14ac:dyDescent="0.3">
      <c r="A425" t="s">
        <v>1546</v>
      </c>
      <c r="B425" t="s">
        <v>1547</v>
      </c>
      <c r="C425" t="s">
        <v>1548</v>
      </c>
      <c r="D425" t="s">
        <v>123</v>
      </c>
      <c r="E425" t="s">
        <v>40</v>
      </c>
      <c r="F425">
        <v>4</v>
      </c>
      <c r="G425" s="1">
        <v>810545</v>
      </c>
      <c r="H425" s="1">
        <v>3242180</v>
      </c>
      <c r="I425" t="s">
        <v>607</v>
      </c>
      <c r="J425" t="s">
        <v>17</v>
      </c>
      <c r="K425" t="s">
        <v>46</v>
      </c>
      <c r="L425" t="str">
        <f t="shared" si="6"/>
        <v>High</v>
      </c>
    </row>
    <row r="426" spans="1:12" x14ac:dyDescent="0.3">
      <c r="A426" t="s">
        <v>1549</v>
      </c>
      <c r="B426" t="s">
        <v>1550</v>
      </c>
      <c r="C426" t="s">
        <v>1551</v>
      </c>
      <c r="D426" t="s">
        <v>123</v>
      </c>
      <c r="E426" t="s">
        <v>55</v>
      </c>
      <c r="F426">
        <v>3</v>
      </c>
      <c r="G426" s="1">
        <v>1480057</v>
      </c>
      <c r="H426" s="1">
        <v>4440171</v>
      </c>
      <c r="I426" t="s">
        <v>188</v>
      </c>
      <c r="J426" t="s">
        <v>23</v>
      </c>
      <c r="K426" t="s">
        <v>18</v>
      </c>
      <c r="L426" t="str">
        <f t="shared" si="6"/>
        <v>High</v>
      </c>
    </row>
    <row r="427" spans="1:12" x14ac:dyDescent="0.3">
      <c r="A427" t="s">
        <v>1552</v>
      </c>
      <c r="B427" t="s">
        <v>1553</v>
      </c>
      <c r="C427" t="s">
        <v>1554</v>
      </c>
      <c r="D427" t="s">
        <v>50</v>
      </c>
      <c r="E427" t="s">
        <v>34</v>
      </c>
      <c r="F427">
        <v>3</v>
      </c>
      <c r="G427" s="1">
        <v>912551</v>
      </c>
      <c r="H427" s="1">
        <v>2737653</v>
      </c>
      <c r="I427" t="s">
        <v>468</v>
      </c>
      <c r="J427" t="s">
        <v>23</v>
      </c>
      <c r="K427" t="s">
        <v>18</v>
      </c>
      <c r="L427" t="str">
        <f t="shared" si="6"/>
        <v>High</v>
      </c>
    </row>
    <row r="428" spans="1:12" x14ac:dyDescent="0.3">
      <c r="A428" t="s">
        <v>1555</v>
      </c>
      <c r="B428" t="s">
        <v>1556</v>
      </c>
      <c r="C428" t="s">
        <v>1557</v>
      </c>
      <c r="D428" t="s">
        <v>64</v>
      </c>
      <c r="E428" t="s">
        <v>55</v>
      </c>
      <c r="F428">
        <v>3</v>
      </c>
      <c r="G428" s="1">
        <v>758530</v>
      </c>
      <c r="H428" s="1">
        <v>2275590</v>
      </c>
      <c r="I428" t="s">
        <v>1558</v>
      </c>
      <c r="J428" t="s">
        <v>17</v>
      </c>
      <c r="K428" t="s">
        <v>46</v>
      </c>
      <c r="L428" t="str">
        <f t="shared" si="6"/>
        <v>High</v>
      </c>
    </row>
    <row r="429" spans="1:12" x14ac:dyDescent="0.3">
      <c r="A429" t="s">
        <v>1559</v>
      </c>
      <c r="B429" t="s">
        <v>1560</v>
      </c>
      <c r="C429" t="s">
        <v>1561</v>
      </c>
      <c r="D429" t="s">
        <v>64</v>
      </c>
      <c r="E429" t="s">
        <v>34</v>
      </c>
      <c r="F429">
        <v>3</v>
      </c>
      <c r="G429" s="1">
        <v>735987</v>
      </c>
      <c r="H429" s="1">
        <v>2207961</v>
      </c>
      <c r="I429" t="s">
        <v>1562</v>
      </c>
      <c r="J429" t="s">
        <v>17</v>
      </c>
      <c r="K429" t="s">
        <v>29</v>
      </c>
      <c r="L429" t="str">
        <f t="shared" si="6"/>
        <v>High</v>
      </c>
    </row>
    <row r="430" spans="1:12" x14ac:dyDescent="0.3">
      <c r="A430" t="s">
        <v>1563</v>
      </c>
      <c r="B430" t="s">
        <v>1564</v>
      </c>
      <c r="C430" t="s">
        <v>1565</v>
      </c>
      <c r="D430" t="s">
        <v>50</v>
      </c>
      <c r="E430" t="s">
        <v>34</v>
      </c>
      <c r="F430">
        <v>4</v>
      </c>
      <c r="G430" s="1">
        <v>804266</v>
      </c>
      <c r="H430" s="1">
        <v>3217064</v>
      </c>
      <c r="I430" t="s">
        <v>1008</v>
      </c>
      <c r="J430" t="s">
        <v>23</v>
      </c>
      <c r="K430" t="s">
        <v>18</v>
      </c>
      <c r="L430" t="str">
        <f t="shared" si="6"/>
        <v>High</v>
      </c>
    </row>
    <row r="431" spans="1:12" x14ac:dyDescent="0.3">
      <c r="A431" t="s">
        <v>1566</v>
      </c>
      <c r="B431" t="s">
        <v>1567</v>
      </c>
      <c r="C431" t="s">
        <v>1568</v>
      </c>
      <c r="D431" t="s">
        <v>39</v>
      </c>
      <c r="E431" t="s">
        <v>55</v>
      </c>
      <c r="F431">
        <v>5</v>
      </c>
      <c r="G431" s="1">
        <v>856555</v>
      </c>
      <c r="H431" s="1">
        <v>4282775</v>
      </c>
      <c r="I431" t="s">
        <v>763</v>
      </c>
      <c r="J431" t="s">
        <v>17</v>
      </c>
      <c r="K431" t="s">
        <v>18</v>
      </c>
      <c r="L431" t="str">
        <f t="shared" si="6"/>
        <v>High</v>
      </c>
    </row>
    <row r="432" spans="1:12" x14ac:dyDescent="0.3">
      <c r="A432" t="s">
        <v>1569</v>
      </c>
      <c r="B432" t="s">
        <v>1570</v>
      </c>
      <c r="C432" t="s">
        <v>1571</v>
      </c>
      <c r="D432" t="s">
        <v>14</v>
      </c>
      <c r="E432" t="s">
        <v>15</v>
      </c>
      <c r="F432">
        <v>4</v>
      </c>
      <c r="G432" s="1">
        <v>959204</v>
      </c>
      <c r="H432" s="1">
        <v>3836816</v>
      </c>
      <c r="I432" t="s">
        <v>1572</v>
      </c>
      <c r="J432" t="s">
        <v>17</v>
      </c>
      <c r="K432" t="s">
        <v>18</v>
      </c>
      <c r="L432" t="str">
        <f t="shared" si="6"/>
        <v>High</v>
      </c>
    </row>
    <row r="433" spans="1:12" x14ac:dyDescent="0.3">
      <c r="A433" t="s">
        <v>1573</v>
      </c>
      <c r="B433" t="s">
        <v>1574</v>
      </c>
      <c r="C433" t="s">
        <v>1575</v>
      </c>
      <c r="D433" t="s">
        <v>64</v>
      </c>
      <c r="E433" t="s">
        <v>163</v>
      </c>
      <c r="F433">
        <v>2</v>
      </c>
      <c r="G433" s="1">
        <v>1007882</v>
      </c>
      <c r="H433" s="1">
        <v>2015764</v>
      </c>
      <c r="I433" t="s">
        <v>1576</v>
      </c>
      <c r="J433" t="s">
        <v>17</v>
      </c>
      <c r="K433" t="s">
        <v>29</v>
      </c>
      <c r="L433" t="str">
        <f t="shared" si="6"/>
        <v>High</v>
      </c>
    </row>
    <row r="434" spans="1:12" x14ac:dyDescent="0.3">
      <c r="A434" t="s">
        <v>1577</v>
      </c>
      <c r="B434" t="s">
        <v>1578</v>
      </c>
      <c r="C434" t="s">
        <v>1579</v>
      </c>
      <c r="D434" t="s">
        <v>50</v>
      </c>
      <c r="E434" t="s">
        <v>163</v>
      </c>
      <c r="F434">
        <v>3</v>
      </c>
      <c r="G434" s="1">
        <v>840718</v>
      </c>
      <c r="H434" s="1">
        <v>2522154</v>
      </c>
      <c r="I434" t="s">
        <v>1580</v>
      </c>
      <c r="J434" t="s">
        <v>23</v>
      </c>
      <c r="K434" t="s">
        <v>29</v>
      </c>
      <c r="L434" t="str">
        <f t="shared" si="6"/>
        <v>High</v>
      </c>
    </row>
    <row r="435" spans="1:12" x14ac:dyDescent="0.3">
      <c r="A435" t="s">
        <v>1581</v>
      </c>
      <c r="B435" t="s">
        <v>1582</v>
      </c>
      <c r="C435" t="s">
        <v>1583</v>
      </c>
      <c r="D435" t="s">
        <v>33</v>
      </c>
      <c r="E435" t="s">
        <v>15</v>
      </c>
      <c r="F435">
        <v>4</v>
      </c>
      <c r="G435" s="1">
        <v>1192945</v>
      </c>
      <c r="H435" s="1">
        <v>4771780</v>
      </c>
      <c r="I435" t="s">
        <v>885</v>
      </c>
      <c r="J435" t="s">
        <v>17</v>
      </c>
      <c r="K435" t="s">
        <v>18</v>
      </c>
      <c r="L435" t="str">
        <f t="shared" si="6"/>
        <v>High</v>
      </c>
    </row>
    <row r="436" spans="1:12" x14ac:dyDescent="0.3">
      <c r="A436" t="s">
        <v>1584</v>
      </c>
      <c r="B436" t="s">
        <v>1585</v>
      </c>
      <c r="C436" t="s">
        <v>1586</v>
      </c>
      <c r="D436" t="s">
        <v>27</v>
      </c>
      <c r="E436" t="s">
        <v>34</v>
      </c>
      <c r="F436">
        <v>4</v>
      </c>
      <c r="G436" s="1">
        <v>98396</v>
      </c>
      <c r="H436" s="1">
        <v>393584</v>
      </c>
      <c r="I436" t="s">
        <v>709</v>
      </c>
      <c r="J436" t="s">
        <v>17</v>
      </c>
      <c r="K436" t="s">
        <v>29</v>
      </c>
      <c r="L436" t="str">
        <f t="shared" si="6"/>
        <v>Low</v>
      </c>
    </row>
    <row r="437" spans="1:12" x14ac:dyDescent="0.3">
      <c r="A437" t="s">
        <v>1587</v>
      </c>
      <c r="B437" t="s">
        <v>1588</v>
      </c>
      <c r="C437" t="s">
        <v>1589</v>
      </c>
      <c r="D437" t="s">
        <v>39</v>
      </c>
      <c r="E437" t="s">
        <v>74</v>
      </c>
      <c r="F437">
        <v>2</v>
      </c>
      <c r="G437" s="1">
        <v>606307</v>
      </c>
      <c r="H437" s="1">
        <v>1212614</v>
      </c>
      <c r="I437" t="s">
        <v>802</v>
      </c>
      <c r="J437" t="s">
        <v>17</v>
      </c>
      <c r="K437" t="s">
        <v>46</v>
      </c>
      <c r="L437" t="str">
        <f t="shared" si="6"/>
        <v>Medium</v>
      </c>
    </row>
    <row r="438" spans="1:12" x14ac:dyDescent="0.3">
      <c r="A438" t="s">
        <v>1590</v>
      </c>
      <c r="B438" t="s">
        <v>1591</v>
      </c>
      <c r="C438" t="s">
        <v>1592</v>
      </c>
      <c r="D438" t="s">
        <v>64</v>
      </c>
      <c r="E438" t="s">
        <v>40</v>
      </c>
      <c r="F438">
        <v>1</v>
      </c>
      <c r="G438" s="1">
        <v>280934</v>
      </c>
      <c r="H438" s="1">
        <v>280934</v>
      </c>
      <c r="I438" t="s">
        <v>770</v>
      </c>
      <c r="J438" t="s">
        <v>17</v>
      </c>
      <c r="K438" t="s">
        <v>46</v>
      </c>
      <c r="L438" t="str">
        <f t="shared" si="6"/>
        <v>Low</v>
      </c>
    </row>
    <row r="439" spans="1:12" x14ac:dyDescent="0.3">
      <c r="A439" t="s">
        <v>1593</v>
      </c>
      <c r="B439" t="s">
        <v>1594</v>
      </c>
      <c r="C439" t="s">
        <v>1595</v>
      </c>
      <c r="D439" t="s">
        <v>33</v>
      </c>
      <c r="E439" t="s">
        <v>55</v>
      </c>
      <c r="F439">
        <v>3</v>
      </c>
      <c r="G439" s="1">
        <v>82000</v>
      </c>
      <c r="H439" s="1">
        <v>246000</v>
      </c>
      <c r="I439" t="s">
        <v>938</v>
      </c>
      <c r="J439" t="s">
        <v>17</v>
      </c>
      <c r="K439" t="s">
        <v>18</v>
      </c>
      <c r="L439" t="str">
        <f t="shared" si="6"/>
        <v>Low</v>
      </c>
    </row>
    <row r="440" spans="1:12" x14ac:dyDescent="0.3">
      <c r="A440" t="s">
        <v>1596</v>
      </c>
      <c r="B440" t="s">
        <v>1597</v>
      </c>
      <c r="C440" t="s">
        <v>1598</v>
      </c>
      <c r="D440" t="s">
        <v>123</v>
      </c>
      <c r="E440" t="s">
        <v>69</v>
      </c>
      <c r="F440">
        <v>2</v>
      </c>
      <c r="G440" s="1">
        <v>1170247</v>
      </c>
      <c r="H440" s="1">
        <v>2340494</v>
      </c>
      <c r="I440" t="s">
        <v>1599</v>
      </c>
      <c r="J440" t="s">
        <v>23</v>
      </c>
      <c r="K440" t="s">
        <v>18</v>
      </c>
      <c r="L440" t="str">
        <f t="shared" si="6"/>
        <v>High</v>
      </c>
    </row>
    <row r="441" spans="1:12" x14ac:dyDescent="0.3">
      <c r="A441" t="s">
        <v>1600</v>
      </c>
      <c r="B441" t="s">
        <v>1601</v>
      </c>
      <c r="C441" t="s">
        <v>1602</v>
      </c>
      <c r="D441" t="s">
        <v>50</v>
      </c>
      <c r="E441" t="s">
        <v>74</v>
      </c>
      <c r="F441">
        <v>1</v>
      </c>
      <c r="G441" s="1">
        <v>105984</v>
      </c>
      <c r="H441" s="1">
        <v>105984</v>
      </c>
      <c r="I441" t="s">
        <v>1603</v>
      </c>
      <c r="J441" t="s">
        <v>23</v>
      </c>
      <c r="K441" t="s">
        <v>46</v>
      </c>
      <c r="L441" t="str">
        <f t="shared" si="6"/>
        <v>Low</v>
      </c>
    </row>
    <row r="442" spans="1:12" x14ac:dyDescent="0.3">
      <c r="A442" t="s">
        <v>1604</v>
      </c>
      <c r="B442" t="s">
        <v>1605</v>
      </c>
      <c r="C442" t="s">
        <v>1606</v>
      </c>
      <c r="D442" t="s">
        <v>14</v>
      </c>
      <c r="E442" t="s">
        <v>15</v>
      </c>
      <c r="F442">
        <v>4</v>
      </c>
      <c r="G442" s="1">
        <v>897769</v>
      </c>
      <c r="H442" s="1">
        <v>3591076</v>
      </c>
      <c r="I442" t="s">
        <v>1607</v>
      </c>
      <c r="J442" t="s">
        <v>23</v>
      </c>
      <c r="K442" t="s">
        <v>18</v>
      </c>
      <c r="L442" t="str">
        <f t="shared" si="6"/>
        <v>High</v>
      </c>
    </row>
    <row r="443" spans="1:12" x14ac:dyDescent="0.3">
      <c r="A443" t="s">
        <v>1608</v>
      </c>
      <c r="B443" t="s">
        <v>1609</v>
      </c>
      <c r="C443" t="s">
        <v>1610</v>
      </c>
      <c r="D443" t="s">
        <v>33</v>
      </c>
      <c r="E443" t="s">
        <v>15</v>
      </c>
      <c r="F443">
        <v>4</v>
      </c>
      <c r="G443" s="1">
        <v>1456626</v>
      </c>
      <c r="H443" s="1">
        <v>5826504</v>
      </c>
      <c r="I443" t="s">
        <v>1572</v>
      </c>
      <c r="J443" t="s">
        <v>17</v>
      </c>
      <c r="K443" t="s">
        <v>18</v>
      </c>
      <c r="L443" t="str">
        <f t="shared" si="6"/>
        <v>High</v>
      </c>
    </row>
    <row r="444" spans="1:12" x14ac:dyDescent="0.3">
      <c r="A444" t="s">
        <v>1611</v>
      </c>
      <c r="B444" t="s">
        <v>1612</v>
      </c>
      <c r="C444" t="s">
        <v>1613</v>
      </c>
      <c r="D444" t="s">
        <v>14</v>
      </c>
      <c r="E444" t="s">
        <v>163</v>
      </c>
      <c r="F444">
        <v>5</v>
      </c>
      <c r="G444" s="1">
        <v>1230088</v>
      </c>
      <c r="H444" s="1">
        <v>6150440</v>
      </c>
      <c r="I444" t="s">
        <v>1290</v>
      </c>
      <c r="J444" t="s">
        <v>17</v>
      </c>
      <c r="K444" t="s">
        <v>29</v>
      </c>
      <c r="L444" t="str">
        <f t="shared" si="6"/>
        <v>High</v>
      </c>
    </row>
    <row r="445" spans="1:12" x14ac:dyDescent="0.3">
      <c r="A445" t="s">
        <v>1614</v>
      </c>
      <c r="B445" t="s">
        <v>1615</v>
      </c>
      <c r="C445" t="s">
        <v>1616</v>
      </c>
      <c r="D445" t="s">
        <v>14</v>
      </c>
      <c r="E445" t="s">
        <v>74</v>
      </c>
      <c r="F445">
        <v>4</v>
      </c>
      <c r="G445" s="1">
        <v>1316787</v>
      </c>
      <c r="H445" s="1">
        <v>5267148</v>
      </c>
      <c r="I445" t="s">
        <v>1617</v>
      </c>
      <c r="J445" t="s">
        <v>17</v>
      </c>
      <c r="K445" t="s">
        <v>46</v>
      </c>
      <c r="L445" t="str">
        <f t="shared" si="6"/>
        <v>High</v>
      </c>
    </row>
    <row r="446" spans="1:12" x14ac:dyDescent="0.3">
      <c r="A446" t="s">
        <v>1618</v>
      </c>
      <c r="B446" t="s">
        <v>1619</v>
      </c>
      <c r="C446" t="s">
        <v>1620</v>
      </c>
      <c r="D446" t="s">
        <v>50</v>
      </c>
      <c r="E446" t="s">
        <v>40</v>
      </c>
      <c r="F446">
        <v>2</v>
      </c>
      <c r="G446" s="1">
        <v>1343570</v>
      </c>
      <c r="H446" s="1">
        <v>2687140</v>
      </c>
      <c r="I446" t="s">
        <v>501</v>
      </c>
      <c r="J446" t="s">
        <v>23</v>
      </c>
      <c r="K446" t="s">
        <v>46</v>
      </c>
      <c r="L446" t="str">
        <f t="shared" si="6"/>
        <v>High</v>
      </c>
    </row>
    <row r="447" spans="1:12" x14ac:dyDescent="0.3">
      <c r="A447" t="s">
        <v>1621</v>
      </c>
      <c r="B447" t="s">
        <v>1622</v>
      </c>
      <c r="C447" t="s">
        <v>1623</v>
      </c>
      <c r="D447" t="s">
        <v>50</v>
      </c>
      <c r="E447" t="s">
        <v>34</v>
      </c>
      <c r="F447">
        <v>5</v>
      </c>
      <c r="G447" s="1">
        <v>1166266</v>
      </c>
      <c r="H447" s="1">
        <v>5831330</v>
      </c>
      <c r="I447" t="s">
        <v>1624</v>
      </c>
      <c r="J447" t="s">
        <v>23</v>
      </c>
      <c r="K447" t="s">
        <v>18</v>
      </c>
      <c r="L447" t="str">
        <f t="shared" si="6"/>
        <v>High</v>
      </c>
    </row>
    <row r="448" spans="1:12" x14ac:dyDescent="0.3">
      <c r="A448" t="s">
        <v>1625</v>
      </c>
      <c r="B448" t="s">
        <v>1626</v>
      </c>
      <c r="C448" t="s">
        <v>1627</v>
      </c>
      <c r="D448" t="s">
        <v>50</v>
      </c>
      <c r="E448" t="s">
        <v>34</v>
      </c>
      <c r="F448">
        <v>2</v>
      </c>
      <c r="G448" s="1">
        <v>534252</v>
      </c>
      <c r="H448" s="1">
        <v>1068504</v>
      </c>
      <c r="I448" t="s">
        <v>1628</v>
      </c>
      <c r="J448" t="s">
        <v>23</v>
      </c>
      <c r="K448" t="s">
        <v>29</v>
      </c>
      <c r="L448" t="str">
        <f t="shared" si="6"/>
        <v>Medium</v>
      </c>
    </row>
    <row r="449" spans="1:12" x14ac:dyDescent="0.3">
      <c r="A449" t="s">
        <v>1629</v>
      </c>
      <c r="B449" t="s">
        <v>1630</v>
      </c>
      <c r="C449" t="s">
        <v>1631</v>
      </c>
      <c r="D449" t="s">
        <v>64</v>
      </c>
      <c r="E449" t="s">
        <v>55</v>
      </c>
      <c r="F449">
        <v>1</v>
      </c>
      <c r="G449" s="1">
        <v>470183</v>
      </c>
      <c r="H449" s="1">
        <v>470183</v>
      </c>
      <c r="I449" t="s">
        <v>1460</v>
      </c>
      <c r="J449" t="s">
        <v>17</v>
      </c>
      <c r="K449" t="s">
        <v>29</v>
      </c>
      <c r="L449" t="str">
        <f t="shared" si="6"/>
        <v>Low</v>
      </c>
    </row>
    <row r="450" spans="1:12" x14ac:dyDescent="0.3">
      <c r="A450" t="s">
        <v>1632</v>
      </c>
      <c r="B450" t="s">
        <v>1633</v>
      </c>
      <c r="C450" t="s">
        <v>1634</v>
      </c>
      <c r="D450" t="s">
        <v>33</v>
      </c>
      <c r="E450" t="s">
        <v>55</v>
      </c>
      <c r="F450">
        <v>2</v>
      </c>
      <c r="G450" s="1">
        <v>943774</v>
      </c>
      <c r="H450" s="1">
        <v>1887548</v>
      </c>
      <c r="I450" t="s">
        <v>618</v>
      </c>
      <c r="J450" t="s">
        <v>23</v>
      </c>
      <c r="K450" t="s">
        <v>46</v>
      </c>
      <c r="L450" t="str">
        <f t="shared" si="6"/>
        <v>Medium</v>
      </c>
    </row>
    <row r="451" spans="1:12" x14ac:dyDescent="0.3">
      <c r="A451" t="s">
        <v>1635</v>
      </c>
      <c r="B451" t="s">
        <v>1636</v>
      </c>
      <c r="C451" t="s">
        <v>1637</v>
      </c>
      <c r="D451" t="s">
        <v>14</v>
      </c>
      <c r="E451" t="s">
        <v>40</v>
      </c>
      <c r="F451">
        <v>1</v>
      </c>
      <c r="G451" s="1">
        <v>213379</v>
      </c>
      <c r="H451" s="1">
        <v>213379</v>
      </c>
      <c r="I451" t="s">
        <v>439</v>
      </c>
      <c r="J451" t="s">
        <v>23</v>
      </c>
      <c r="K451" t="s">
        <v>29</v>
      </c>
      <c r="L451" t="str">
        <f t="shared" ref="L451:L514" si="7">IF(H451&gt;2000000,"High",IF(H451&gt;500000,"Medium","Low"))</f>
        <v>Low</v>
      </c>
    </row>
    <row r="452" spans="1:12" x14ac:dyDescent="0.3">
      <c r="A452" t="s">
        <v>1638</v>
      </c>
      <c r="B452" t="s">
        <v>1639</v>
      </c>
      <c r="C452" t="s">
        <v>1640</v>
      </c>
      <c r="D452" t="s">
        <v>33</v>
      </c>
      <c r="E452" t="s">
        <v>163</v>
      </c>
      <c r="F452">
        <v>3</v>
      </c>
      <c r="G452" s="1">
        <v>1042638</v>
      </c>
      <c r="H452" s="1">
        <v>3127914</v>
      </c>
      <c r="I452" t="s">
        <v>1395</v>
      </c>
      <c r="J452" t="s">
        <v>17</v>
      </c>
      <c r="K452" t="s">
        <v>46</v>
      </c>
      <c r="L452" t="str">
        <f t="shared" si="7"/>
        <v>High</v>
      </c>
    </row>
    <row r="453" spans="1:12" x14ac:dyDescent="0.3">
      <c r="A453" t="s">
        <v>1641</v>
      </c>
      <c r="B453" t="s">
        <v>1642</v>
      </c>
      <c r="C453" t="s">
        <v>1643</v>
      </c>
      <c r="D453" t="s">
        <v>50</v>
      </c>
      <c r="E453" t="s">
        <v>40</v>
      </c>
      <c r="F453">
        <v>3</v>
      </c>
      <c r="G453" s="1">
        <v>1204235</v>
      </c>
      <c r="H453" s="1">
        <v>3612705</v>
      </c>
      <c r="I453" t="s">
        <v>95</v>
      </c>
      <c r="J453" t="s">
        <v>23</v>
      </c>
      <c r="K453" t="s">
        <v>29</v>
      </c>
      <c r="L453" t="str">
        <f t="shared" si="7"/>
        <v>High</v>
      </c>
    </row>
    <row r="454" spans="1:12" x14ac:dyDescent="0.3">
      <c r="A454" t="s">
        <v>1644</v>
      </c>
      <c r="B454" t="s">
        <v>1645</v>
      </c>
      <c r="C454" t="s">
        <v>1646</v>
      </c>
      <c r="D454" t="s">
        <v>33</v>
      </c>
      <c r="E454" t="s">
        <v>74</v>
      </c>
      <c r="F454">
        <v>4</v>
      </c>
      <c r="G454" s="1">
        <v>1438426</v>
      </c>
      <c r="H454" s="1">
        <v>5753704</v>
      </c>
      <c r="I454" t="s">
        <v>180</v>
      </c>
      <c r="J454" t="s">
        <v>17</v>
      </c>
      <c r="K454" t="s">
        <v>46</v>
      </c>
      <c r="L454" t="str">
        <f t="shared" si="7"/>
        <v>High</v>
      </c>
    </row>
    <row r="455" spans="1:12" x14ac:dyDescent="0.3">
      <c r="A455" t="s">
        <v>1647</v>
      </c>
      <c r="B455" t="s">
        <v>1648</v>
      </c>
      <c r="C455" t="s">
        <v>1649</v>
      </c>
      <c r="D455" t="s">
        <v>50</v>
      </c>
      <c r="E455" t="s">
        <v>69</v>
      </c>
      <c r="F455">
        <v>2</v>
      </c>
      <c r="G455" s="1">
        <v>512586</v>
      </c>
      <c r="H455" s="1">
        <v>1025172</v>
      </c>
      <c r="I455" t="s">
        <v>450</v>
      </c>
      <c r="J455" t="s">
        <v>23</v>
      </c>
      <c r="K455" t="s">
        <v>46</v>
      </c>
      <c r="L455" t="str">
        <f t="shared" si="7"/>
        <v>Medium</v>
      </c>
    </row>
    <row r="456" spans="1:12" x14ac:dyDescent="0.3">
      <c r="A456" t="s">
        <v>1650</v>
      </c>
      <c r="B456" t="s">
        <v>1651</v>
      </c>
      <c r="C456" t="s">
        <v>1652</v>
      </c>
      <c r="D456" t="s">
        <v>27</v>
      </c>
      <c r="E456" t="s">
        <v>69</v>
      </c>
      <c r="F456">
        <v>1</v>
      </c>
      <c r="G456" s="1">
        <v>653454</v>
      </c>
      <c r="H456" s="1">
        <v>653454</v>
      </c>
      <c r="I456" t="s">
        <v>787</v>
      </c>
      <c r="J456" t="s">
        <v>17</v>
      </c>
      <c r="K456" t="s">
        <v>46</v>
      </c>
      <c r="L456" t="str">
        <f t="shared" si="7"/>
        <v>Medium</v>
      </c>
    </row>
    <row r="457" spans="1:12" x14ac:dyDescent="0.3">
      <c r="A457" t="s">
        <v>1653</v>
      </c>
      <c r="B457" t="s">
        <v>1654</v>
      </c>
      <c r="C457" t="s">
        <v>1655</v>
      </c>
      <c r="D457" t="s">
        <v>27</v>
      </c>
      <c r="E457" t="s">
        <v>15</v>
      </c>
      <c r="F457">
        <v>2</v>
      </c>
      <c r="G457" s="1">
        <v>1463083</v>
      </c>
      <c r="H457" s="1">
        <v>2926166</v>
      </c>
      <c r="I457" t="s">
        <v>1656</v>
      </c>
      <c r="J457" t="s">
        <v>17</v>
      </c>
      <c r="K457" t="s">
        <v>18</v>
      </c>
      <c r="L457" t="str">
        <f t="shared" si="7"/>
        <v>High</v>
      </c>
    </row>
    <row r="458" spans="1:12" x14ac:dyDescent="0.3">
      <c r="A458" t="s">
        <v>1657</v>
      </c>
      <c r="B458" t="s">
        <v>1658</v>
      </c>
      <c r="C458" t="s">
        <v>1659</v>
      </c>
      <c r="D458" t="s">
        <v>14</v>
      </c>
      <c r="E458" t="s">
        <v>69</v>
      </c>
      <c r="F458">
        <v>2</v>
      </c>
      <c r="G458" s="1">
        <v>1187439</v>
      </c>
      <c r="H458" s="1">
        <v>2374878</v>
      </c>
      <c r="I458" t="s">
        <v>618</v>
      </c>
      <c r="J458" t="s">
        <v>17</v>
      </c>
      <c r="K458" t="s">
        <v>18</v>
      </c>
      <c r="L458" t="str">
        <f t="shared" si="7"/>
        <v>High</v>
      </c>
    </row>
    <row r="459" spans="1:12" x14ac:dyDescent="0.3">
      <c r="A459" t="s">
        <v>1660</v>
      </c>
      <c r="B459" t="s">
        <v>1661</v>
      </c>
      <c r="C459" t="s">
        <v>1662</v>
      </c>
      <c r="D459" t="s">
        <v>27</v>
      </c>
      <c r="E459" t="s">
        <v>15</v>
      </c>
      <c r="F459">
        <v>5</v>
      </c>
      <c r="G459" s="1">
        <v>1369693</v>
      </c>
      <c r="H459" s="1">
        <v>6848465</v>
      </c>
      <c r="I459" t="s">
        <v>1663</v>
      </c>
      <c r="J459" t="s">
        <v>23</v>
      </c>
      <c r="K459" t="s">
        <v>18</v>
      </c>
      <c r="L459" t="str">
        <f t="shared" si="7"/>
        <v>High</v>
      </c>
    </row>
    <row r="460" spans="1:12" x14ac:dyDescent="0.3">
      <c r="A460" t="s">
        <v>1664</v>
      </c>
      <c r="B460" t="s">
        <v>1665</v>
      </c>
      <c r="C460" t="s">
        <v>1666</v>
      </c>
      <c r="D460" t="s">
        <v>27</v>
      </c>
      <c r="E460" t="s">
        <v>74</v>
      </c>
      <c r="F460">
        <v>3</v>
      </c>
      <c r="G460" s="1">
        <v>1406807</v>
      </c>
      <c r="H460" s="1">
        <v>4220421</v>
      </c>
      <c r="I460" t="s">
        <v>607</v>
      </c>
      <c r="J460" t="s">
        <v>17</v>
      </c>
      <c r="K460" t="s">
        <v>29</v>
      </c>
      <c r="L460" t="str">
        <f t="shared" si="7"/>
        <v>High</v>
      </c>
    </row>
    <row r="461" spans="1:12" x14ac:dyDescent="0.3">
      <c r="A461" t="s">
        <v>1667</v>
      </c>
      <c r="B461" t="s">
        <v>1668</v>
      </c>
      <c r="C461" t="s">
        <v>1669</v>
      </c>
      <c r="D461" t="s">
        <v>39</v>
      </c>
      <c r="E461" t="s">
        <v>40</v>
      </c>
      <c r="F461">
        <v>4</v>
      </c>
      <c r="G461" s="1">
        <v>1222893</v>
      </c>
      <c r="H461" s="1">
        <v>4891572</v>
      </c>
      <c r="I461" t="s">
        <v>308</v>
      </c>
      <c r="J461" t="s">
        <v>23</v>
      </c>
      <c r="K461" t="s">
        <v>46</v>
      </c>
      <c r="L461" t="str">
        <f t="shared" si="7"/>
        <v>High</v>
      </c>
    </row>
    <row r="462" spans="1:12" x14ac:dyDescent="0.3">
      <c r="A462" t="s">
        <v>1670</v>
      </c>
      <c r="B462" t="s">
        <v>1671</v>
      </c>
      <c r="C462" t="s">
        <v>1672</v>
      </c>
      <c r="D462" t="s">
        <v>14</v>
      </c>
      <c r="E462" t="s">
        <v>55</v>
      </c>
      <c r="F462">
        <v>2</v>
      </c>
      <c r="G462" s="1">
        <v>624890</v>
      </c>
      <c r="H462" s="1">
        <v>1249780</v>
      </c>
      <c r="I462" t="s">
        <v>212</v>
      </c>
      <c r="J462" t="s">
        <v>17</v>
      </c>
      <c r="K462" t="s">
        <v>29</v>
      </c>
      <c r="L462" t="str">
        <f t="shared" si="7"/>
        <v>Medium</v>
      </c>
    </row>
    <row r="463" spans="1:12" x14ac:dyDescent="0.3">
      <c r="A463" t="s">
        <v>1673</v>
      </c>
      <c r="B463" t="s">
        <v>1674</v>
      </c>
      <c r="C463" t="s">
        <v>1675</v>
      </c>
      <c r="D463" t="s">
        <v>27</v>
      </c>
      <c r="E463" t="s">
        <v>163</v>
      </c>
      <c r="F463">
        <v>5</v>
      </c>
      <c r="G463" s="1">
        <v>838690</v>
      </c>
      <c r="H463" s="1">
        <v>4193450</v>
      </c>
      <c r="I463" t="s">
        <v>1676</v>
      </c>
      <c r="J463" t="s">
        <v>17</v>
      </c>
      <c r="K463" t="s">
        <v>18</v>
      </c>
      <c r="L463" t="str">
        <f t="shared" si="7"/>
        <v>High</v>
      </c>
    </row>
    <row r="464" spans="1:12" x14ac:dyDescent="0.3">
      <c r="A464" t="s">
        <v>1677</v>
      </c>
      <c r="B464" t="s">
        <v>1678</v>
      </c>
      <c r="C464" t="s">
        <v>1679</v>
      </c>
      <c r="D464" t="s">
        <v>33</v>
      </c>
      <c r="E464" t="s">
        <v>34</v>
      </c>
      <c r="F464">
        <v>3</v>
      </c>
      <c r="G464" s="1">
        <v>618349</v>
      </c>
      <c r="H464" s="1">
        <v>1855047</v>
      </c>
      <c r="I464" t="s">
        <v>1617</v>
      </c>
      <c r="J464" t="s">
        <v>23</v>
      </c>
      <c r="K464" t="s">
        <v>29</v>
      </c>
      <c r="L464" t="str">
        <f t="shared" si="7"/>
        <v>Medium</v>
      </c>
    </row>
    <row r="465" spans="1:12" x14ac:dyDescent="0.3">
      <c r="A465" t="s">
        <v>1680</v>
      </c>
      <c r="B465" t="s">
        <v>1681</v>
      </c>
      <c r="C465" t="s">
        <v>1682</v>
      </c>
      <c r="D465" t="s">
        <v>64</v>
      </c>
      <c r="E465" t="s">
        <v>40</v>
      </c>
      <c r="F465">
        <v>4</v>
      </c>
      <c r="G465" s="1">
        <v>1139625</v>
      </c>
      <c r="H465" s="1">
        <v>4558500</v>
      </c>
      <c r="I465" t="s">
        <v>660</v>
      </c>
      <c r="J465" t="s">
        <v>23</v>
      </c>
      <c r="K465" t="s">
        <v>46</v>
      </c>
      <c r="L465" t="str">
        <f t="shared" si="7"/>
        <v>High</v>
      </c>
    </row>
    <row r="466" spans="1:12" x14ac:dyDescent="0.3">
      <c r="A466" t="s">
        <v>1683</v>
      </c>
      <c r="B466" t="s">
        <v>1684</v>
      </c>
      <c r="C466" t="s">
        <v>1685</v>
      </c>
      <c r="D466" t="s">
        <v>33</v>
      </c>
      <c r="E466" t="s">
        <v>34</v>
      </c>
      <c r="F466">
        <v>5</v>
      </c>
      <c r="G466" s="1">
        <v>897521</v>
      </c>
      <c r="H466" s="1">
        <v>4487605</v>
      </c>
      <c r="I466" t="s">
        <v>973</v>
      </c>
      <c r="J466" t="s">
        <v>17</v>
      </c>
      <c r="K466" t="s">
        <v>29</v>
      </c>
      <c r="L466" t="str">
        <f t="shared" si="7"/>
        <v>High</v>
      </c>
    </row>
    <row r="467" spans="1:12" x14ac:dyDescent="0.3">
      <c r="A467" t="s">
        <v>1686</v>
      </c>
      <c r="B467" t="s">
        <v>1687</v>
      </c>
      <c r="C467" t="s">
        <v>1688</v>
      </c>
      <c r="D467" t="s">
        <v>123</v>
      </c>
      <c r="E467" t="s">
        <v>34</v>
      </c>
      <c r="F467">
        <v>1</v>
      </c>
      <c r="G467" s="1">
        <v>564006</v>
      </c>
      <c r="H467" s="1">
        <v>564006</v>
      </c>
      <c r="I467" t="s">
        <v>1689</v>
      </c>
      <c r="J467" t="s">
        <v>17</v>
      </c>
      <c r="K467" t="s">
        <v>18</v>
      </c>
      <c r="L467" t="str">
        <f t="shared" si="7"/>
        <v>Medium</v>
      </c>
    </row>
    <row r="468" spans="1:12" x14ac:dyDescent="0.3">
      <c r="A468" t="s">
        <v>1690</v>
      </c>
      <c r="B468" t="s">
        <v>1691</v>
      </c>
      <c r="C468" t="s">
        <v>1692</v>
      </c>
      <c r="D468" t="s">
        <v>39</v>
      </c>
      <c r="E468" t="s">
        <v>40</v>
      </c>
      <c r="F468">
        <v>1</v>
      </c>
      <c r="G468" s="1">
        <v>101490</v>
      </c>
      <c r="H468" s="1">
        <v>101490</v>
      </c>
      <c r="I468" t="s">
        <v>41</v>
      </c>
      <c r="J468" t="s">
        <v>23</v>
      </c>
      <c r="K468" t="s">
        <v>29</v>
      </c>
      <c r="L468" t="str">
        <f t="shared" si="7"/>
        <v>Low</v>
      </c>
    </row>
    <row r="469" spans="1:12" x14ac:dyDescent="0.3">
      <c r="A469" t="s">
        <v>1693</v>
      </c>
      <c r="B469" t="s">
        <v>1694</v>
      </c>
      <c r="C469" t="s">
        <v>1695</v>
      </c>
      <c r="D469" t="s">
        <v>50</v>
      </c>
      <c r="E469" t="s">
        <v>74</v>
      </c>
      <c r="F469">
        <v>4</v>
      </c>
      <c r="G469" s="1">
        <v>295434</v>
      </c>
      <c r="H469" s="1">
        <v>1181736</v>
      </c>
      <c r="I469" t="s">
        <v>1696</v>
      </c>
      <c r="J469" t="s">
        <v>17</v>
      </c>
      <c r="K469" t="s">
        <v>29</v>
      </c>
      <c r="L469" t="str">
        <f t="shared" si="7"/>
        <v>Medium</v>
      </c>
    </row>
    <row r="470" spans="1:12" x14ac:dyDescent="0.3">
      <c r="A470" t="s">
        <v>1697</v>
      </c>
      <c r="B470" t="s">
        <v>1698</v>
      </c>
      <c r="C470" t="s">
        <v>1699</v>
      </c>
      <c r="D470" t="s">
        <v>27</v>
      </c>
      <c r="E470" t="s">
        <v>55</v>
      </c>
      <c r="F470">
        <v>1</v>
      </c>
      <c r="G470" s="1">
        <v>181961</v>
      </c>
      <c r="H470" s="1">
        <v>181961</v>
      </c>
      <c r="I470" t="s">
        <v>382</v>
      </c>
      <c r="J470" t="s">
        <v>17</v>
      </c>
      <c r="K470" t="s">
        <v>46</v>
      </c>
      <c r="L470" t="str">
        <f t="shared" si="7"/>
        <v>Low</v>
      </c>
    </row>
    <row r="471" spans="1:12" x14ac:dyDescent="0.3">
      <c r="A471" t="s">
        <v>1700</v>
      </c>
      <c r="B471" t="s">
        <v>1701</v>
      </c>
      <c r="C471" t="s">
        <v>1702</v>
      </c>
      <c r="D471" t="s">
        <v>50</v>
      </c>
      <c r="E471" t="s">
        <v>34</v>
      </c>
      <c r="F471">
        <v>2</v>
      </c>
      <c r="G471" s="1">
        <v>523186</v>
      </c>
      <c r="H471" s="1">
        <v>1046372</v>
      </c>
      <c r="I471" t="s">
        <v>1391</v>
      </c>
      <c r="J471" t="s">
        <v>17</v>
      </c>
      <c r="K471" t="s">
        <v>18</v>
      </c>
      <c r="L471" t="str">
        <f t="shared" si="7"/>
        <v>Medium</v>
      </c>
    </row>
    <row r="472" spans="1:12" x14ac:dyDescent="0.3">
      <c r="A472" t="s">
        <v>1703</v>
      </c>
      <c r="B472" t="s">
        <v>1704</v>
      </c>
      <c r="C472" t="s">
        <v>1705</v>
      </c>
      <c r="D472" t="s">
        <v>39</v>
      </c>
      <c r="E472" t="s">
        <v>69</v>
      </c>
      <c r="F472">
        <v>1</v>
      </c>
      <c r="G472" s="1">
        <v>916413</v>
      </c>
      <c r="H472" s="1">
        <v>916413</v>
      </c>
      <c r="I472" t="s">
        <v>1706</v>
      </c>
      <c r="J472" t="s">
        <v>23</v>
      </c>
      <c r="K472" t="s">
        <v>46</v>
      </c>
      <c r="L472" t="str">
        <f t="shared" si="7"/>
        <v>Medium</v>
      </c>
    </row>
    <row r="473" spans="1:12" x14ac:dyDescent="0.3">
      <c r="A473" t="s">
        <v>1707</v>
      </c>
      <c r="B473" t="s">
        <v>1708</v>
      </c>
      <c r="C473" t="s">
        <v>1709</v>
      </c>
      <c r="D473" t="s">
        <v>27</v>
      </c>
      <c r="E473" t="s">
        <v>40</v>
      </c>
      <c r="F473">
        <v>2</v>
      </c>
      <c r="G473" s="1">
        <v>367940</v>
      </c>
      <c r="H473" s="1">
        <v>735880</v>
      </c>
      <c r="I473" t="s">
        <v>1710</v>
      </c>
      <c r="J473" t="s">
        <v>23</v>
      </c>
      <c r="K473" t="s">
        <v>46</v>
      </c>
      <c r="L473" t="str">
        <f t="shared" si="7"/>
        <v>Medium</v>
      </c>
    </row>
    <row r="474" spans="1:12" x14ac:dyDescent="0.3">
      <c r="A474" t="s">
        <v>1711</v>
      </c>
      <c r="B474" t="s">
        <v>1712</v>
      </c>
      <c r="C474" t="s">
        <v>1713</v>
      </c>
      <c r="D474" t="s">
        <v>33</v>
      </c>
      <c r="E474" t="s">
        <v>55</v>
      </c>
      <c r="F474">
        <v>2</v>
      </c>
      <c r="G474" s="1">
        <v>947467</v>
      </c>
      <c r="H474" s="1">
        <v>1894934</v>
      </c>
      <c r="I474" t="s">
        <v>1714</v>
      </c>
      <c r="J474" t="s">
        <v>23</v>
      </c>
      <c r="K474" t="s">
        <v>18</v>
      </c>
      <c r="L474" t="str">
        <f t="shared" si="7"/>
        <v>Medium</v>
      </c>
    </row>
    <row r="475" spans="1:12" x14ac:dyDescent="0.3">
      <c r="A475" t="s">
        <v>1715</v>
      </c>
      <c r="B475" t="s">
        <v>1716</v>
      </c>
      <c r="C475" t="s">
        <v>1717</v>
      </c>
      <c r="D475" t="s">
        <v>64</v>
      </c>
      <c r="E475" t="s">
        <v>74</v>
      </c>
      <c r="F475">
        <v>5</v>
      </c>
      <c r="G475" s="1">
        <v>1030764</v>
      </c>
      <c r="H475" s="1">
        <v>5153820</v>
      </c>
      <c r="I475" t="s">
        <v>910</v>
      </c>
      <c r="J475" t="s">
        <v>23</v>
      </c>
      <c r="K475" t="s">
        <v>46</v>
      </c>
      <c r="L475" t="str">
        <f t="shared" si="7"/>
        <v>High</v>
      </c>
    </row>
    <row r="476" spans="1:12" x14ac:dyDescent="0.3">
      <c r="A476" t="s">
        <v>1718</v>
      </c>
      <c r="B476" t="s">
        <v>1719</v>
      </c>
      <c r="C476" t="s">
        <v>1720</v>
      </c>
      <c r="D476" t="s">
        <v>50</v>
      </c>
      <c r="E476" t="s">
        <v>34</v>
      </c>
      <c r="F476">
        <v>2</v>
      </c>
      <c r="G476" s="1">
        <v>1005135</v>
      </c>
      <c r="H476" s="1">
        <v>2010270</v>
      </c>
      <c r="I476" t="s">
        <v>1395</v>
      </c>
      <c r="J476" t="s">
        <v>23</v>
      </c>
      <c r="K476" t="s">
        <v>46</v>
      </c>
      <c r="L476" t="str">
        <f t="shared" si="7"/>
        <v>High</v>
      </c>
    </row>
    <row r="477" spans="1:12" x14ac:dyDescent="0.3">
      <c r="A477" t="s">
        <v>1721</v>
      </c>
      <c r="B477" t="s">
        <v>1722</v>
      </c>
      <c r="C477" t="s">
        <v>1723</v>
      </c>
      <c r="D477" t="s">
        <v>33</v>
      </c>
      <c r="E477" t="s">
        <v>163</v>
      </c>
      <c r="F477">
        <v>3</v>
      </c>
      <c r="G477" s="1">
        <v>1162120</v>
      </c>
      <c r="H477" s="1">
        <v>3486360</v>
      </c>
      <c r="I477" t="s">
        <v>1724</v>
      </c>
      <c r="J477" t="s">
        <v>23</v>
      </c>
      <c r="K477" t="s">
        <v>18</v>
      </c>
      <c r="L477" t="str">
        <f t="shared" si="7"/>
        <v>High</v>
      </c>
    </row>
    <row r="478" spans="1:12" x14ac:dyDescent="0.3">
      <c r="A478" t="s">
        <v>1725</v>
      </c>
      <c r="B478" t="s">
        <v>1726</v>
      </c>
      <c r="C478" t="s">
        <v>1727</v>
      </c>
      <c r="D478" t="s">
        <v>64</v>
      </c>
      <c r="E478" t="s">
        <v>40</v>
      </c>
      <c r="F478">
        <v>4</v>
      </c>
      <c r="G478" s="1">
        <v>1322814</v>
      </c>
      <c r="H478" s="1">
        <v>5291256</v>
      </c>
      <c r="I478" t="s">
        <v>468</v>
      </c>
      <c r="J478" t="s">
        <v>23</v>
      </c>
      <c r="K478" t="s">
        <v>29</v>
      </c>
      <c r="L478" t="str">
        <f t="shared" si="7"/>
        <v>High</v>
      </c>
    </row>
    <row r="479" spans="1:12" x14ac:dyDescent="0.3">
      <c r="A479" t="s">
        <v>1728</v>
      </c>
      <c r="B479" t="s">
        <v>1729</v>
      </c>
      <c r="C479" t="s">
        <v>1730</v>
      </c>
      <c r="D479" t="s">
        <v>27</v>
      </c>
      <c r="E479" t="s">
        <v>163</v>
      </c>
      <c r="F479">
        <v>3</v>
      </c>
      <c r="G479" s="1">
        <v>1366897</v>
      </c>
      <c r="H479" s="1">
        <v>4100691</v>
      </c>
      <c r="I479" t="s">
        <v>1617</v>
      </c>
      <c r="J479" t="s">
        <v>23</v>
      </c>
      <c r="K479" t="s">
        <v>46</v>
      </c>
      <c r="L479" t="str">
        <f t="shared" si="7"/>
        <v>High</v>
      </c>
    </row>
    <row r="480" spans="1:12" x14ac:dyDescent="0.3">
      <c r="A480" t="s">
        <v>1731</v>
      </c>
      <c r="B480" t="s">
        <v>1732</v>
      </c>
      <c r="C480" t="s">
        <v>1733</v>
      </c>
      <c r="D480" t="s">
        <v>123</v>
      </c>
      <c r="E480" t="s">
        <v>55</v>
      </c>
      <c r="F480">
        <v>5</v>
      </c>
      <c r="G480" s="1">
        <v>957915</v>
      </c>
      <c r="H480" s="1">
        <v>4789575</v>
      </c>
      <c r="I480" t="s">
        <v>1734</v>
      </c>
      <c r="J480" t="s">
        <v>23</v>
      </c>
      <c r="K480" t="s">
        <v>18</v>
      </c>
      <c r="L480" t="str">
        <f t="shared" si="7"/>
        <v>High</v>
      </c>
    </row>
    <row r="481" spans="1:12" x14ac:dyDescent="0.3">
      <c r="A481" t="s">
        <v>1735</v>
      </c>
      <c r="B481" t="s">
        <v>1736</v>
      </c>
      <c r="C481" t="s">
        <v>1737</v>
      </c>
      <c r="D481" t="s">
        <v>64</v>
      </c>
      <c r="E481" t="s">
        <v>163</v>
      </c>
      <c r="F481">
        <v>4</v>
      </c>
      <c r="G481" s="1">
        <v>800796</v>
      </c>
      <c r="H481" s="1">
        <v>3203184</v>
      </c>
      <c r="I481" t="s">
        <v>990</v>
      </c>
      <c r="J481" t="s">
        <v>17</v>
      </c>
      <c r="K481" t="s">
        <v>18</v>
      </c>
      <c r="L481" t="str">
        <f t="shared" si="7"/>
        <v>High</v>
      </c>
    </row>
    <row r="482" spans="1:12" x14ac:dyDescent="0.3">
      <c r="A482" t="s">
        <v>1738</v>
      </c>
      <c r="B482" t="s">
        <v>1739</v>
      </c>
      <c r="C482" t="s">
        <v>1740</v>
      </c>
      <c r="D482" t="s">
        <v>123</v>
      </c>
      <c r="E482" t="s">
        <v>163</v>
      </c>
      <c r="F482">
        <v>4</v>
      </c>
      <c r="G482" s="1">
        <v>832233</v>
      </c>
      <c r="H482" s="1">
        <v>3328932</v>
      </c>
      <c r="I482" t="s">
        <v>1741</v>
      </c>
      <c r="J482" t="s">
        <v>23</v>
      </c>
      <c r="K482" t="s">
        <v>29</v>
      </c>
      <c r="L482" t="str">
        <f t="shared" si="7"/>
        <v>High</v>
      </c>
    </row>
    <row r="483" spans="1:12" x14ac:dyDescent="0.3">
      <c r="A483" t="s">
        <v>1742</v>
      </c>
      <c r="B483" t="s">
        <v>1743</v>
      </c>
      <c r="C483" t="s">
        <v>1744</v>
      </c>
      <c r="D483" t="s">
        <v>27</v>
      </c>
      <c r="E483" t="s">
        <v>15</v>
      </c>
      <c r="F483">
        <v>1</v>
      </c>
      <c r="G483" s="1">
        <v>203861</v>
      </c>
      <c r="H483" s="1">
        <v>203861</v>
      </c>
      <c r="I483" t="s">
        <v>833</v>
      </c>
      <c r="J483" t="s">
        <v>17</v>
      </c>
      <c r="K483" t="s">
        <v>18</v>
      </c>
      <c r="L483" t="str">
        <f t="shared" si="7"/>
        <v>Low</v>
      </c>
    </row>
    <row r="484" spans="1:12" x14ac:dyDescent="0.3">
      <c r="A484" t="s">
        <v>1745</v>
      </c>
      <c r="B484" t="s">
        <v>1746</v>
      </c>
      <c r="C484" t="s">
        <v>1747</v>
      </c>
      <c r="D484" t="s">
        <v>50</v>
      </c>
      <c r="E484" t="s">
        <v>55</v>
      </c>
      <c r="F484">
        <v>5</v>
      </c>
      <c r="G484" s="1">
        <v>1494240</v>
      </c>
      <c r="H484" s="1">
        <v>7471200</v>
      </c>
      <c r="I484" t="s">
        <v>1748</v>
      </c>
      <c r="J484" t="s">
        <v>17</v>
      </c>
      <c r="K484" t="s">
        <v>18</v>
      </c>
      <c r="L484" t="str">
        <f t="shared" si="7"/>
        <v>High</v>
      </c>
    </row>
    <row r="485" spans="1:12" x14ac:dyDescent="0.3">
      <c r="A485" t="s">
        <v>1749</v>
      </c>
      <c r="B485" t="s">
        <v>1750</v>
      </c>
      <c r="C485" t="s">
        <v>1751</v>
      </c>
      <c r="D485" t="s">
        <v>33</v>
      </c>
      <c r="E485" t="s">
        <v>69</v>
      </c>
      <c r="F485">
        <v>2</v>
      </c>
      <c r="G485" s="1">
        <v>152612</v>
      </c>
      <c r="H485" s="1">
        <v>305224</v>
      </c>
      <c r="I485" t="s">
        <v>802</v>
      </c>
      <c r="J485" t="s">
        <v>17</v>
      </c>
      <c r="K485" t="s">
        <v>29</v>
      </c>
      <c r="L485" t="str">
        <f t="shared" si="7"/>
        <v>Low</v>
      </c>
    </row>
    <row r="486" spans="1:12" x14ac:dyDescent="0.3">
      <c r="A486" t="s">
        <v>1752</v>
      </c>
      <c r="B486" t="s">
        <v>1753</v>
      </c>
      <c r="C486" t="s">
        <v>1754</v>
      </c>
      <c r="D486" t="s">
        <v>50</v>
      </c>
      <c r="E486" t="s">
        <v>55</v>
      </c>
      <c r="F486">
        <v>5</v>
      </c>
      <c r="G486" s="1">
        <v>1209694</v>
      </c>
      <c r="H486" s="1">
        <v>6048470</v>
      </c>
      <c r="I486" t="s">
        <v>1506</v>
      </c>
      <c r="J486" t="s">
        <v>17</v>
      </c>
      <c r="K486" t="s">
        <v>18</v>
      </c>
      <c r="L486" t="str">
        <f t="shared" si="7"/>
        <v>High</v>
      </c>
    </row>
    <row r="487" spans="1:12" x14ac:dyDescent="0.3">
      <c r="A487" t="s">
        <v>1755</v>
      </c>
      <c r="B487" t="s">
        <v>1756</v>
      </c>
      <c r="C487" t="s">
        <v>1757</v>
      </c>
      <c r="D487" t="s">
        <v>50</v>
      </c>
      <c r="E487" t="s">
        <v>69</v>
      </c>
      <c r="F487">
        <v>1</v>
      </c>
      <c r="G487" s="1">
        <v>333144</v>
      </c>
      <c r="H487" s="1">
        <v>333144</v>
      </c>
      <c r="I487" t="s">
        <v>1286</v>
      </c>
      <c r="J487" t="s">
        <v>23</v>
      </c>
      <c r="K487" t="s">
        <v>46</v>
      </c>
      <c r="L487" t="str">
        <f t="shared" si="7"/>
        <v>Low</v>
      </c>
    </row>
    <row r="488" spans="1:12" x14ac:dyDescent="0.3">
      <c r="A488" t="s">
        <v>1758</v>
      </c>
      <c r="B488" t="s">
        <v>1759</v>
      </c>
      <c r="C488" t="s">
        <v>1760</v>
      </c>
      <c r="D488" t="s">
        <v>39</v>
      </c>
      <c r="E488" t="s">
        <v>34</v>
      </c>
      <c r="F488">
        <v>3</v>
      </c>
      <c r="G488" s="1">
        <v>1312972</v>
      </c>
      <c r="H488" s="1">
        <v>3938916</v>
      </c>
      <c r="I488" t="s">
        <v>382</v>
      </c>
      <c r="J488" t="s">
        <v>23</v>
      </c>
      <c r="K488" t="s">
        <v>29</v>
      </c>
      <c r="L488" t="str">
        <f t="shared" si="7"/>
        <v>High</v>
      </c>
    </row>
    <row r="489" spans="1:12" x14ac:dyDescent="0.3">
      <c r="A489" t="s">
        <v>1761</v>
      </c>
      <c r="B489" t="s">
        <v>1762</v>
      </c>
      <c r="C489" t="s">
        <v>1763</v>
      </c>
      <c r="D489" t="s">
        <v>123</v>
      </c>
      <c r="E489" t="s">
        <v>34</v>
      </c>
      <c r="F489">
        <v>4</v>
      </c>
      <c r="G489" s="1">
        <v>265600</v>
      </c>
      <c r="H489" s="1">
        <v>1062400</v>
      </c>
      <c r="I489" t="s">
        <v>331</v>
      </c>
      <c r="J489" t="s">
        <v>17</v>
      </c>
      <c r="K489" t="s">
        <v>29</v>
      </c>
      <c r="L489" t="str">
        <f t="shared" si="7"/>
        <v>Medium</v>
      </c>
    </row>
    <row r="490" spans="1:12" x14ac:dyDescent="0.3">
      <c r="A490" t="s">
        <v>1764</v>
      </c>
      <c r="B490" t="s">
        <v>1765</v>
      </c>
      <c r="C490" t="s">
        <v>1766</v>
      </c>
      <c r="D490" t="s">
        <v>64</v>
      </c>
      <c r="E490" t="s">
        <v>34</v>
      </c>
      <c r="F490">
        <v>4</v>
      </c>
      <c r="G490" s="1">
        <v>1406392</v>
      </c>
      <c r="H490" s="1">
        <v>5625568</v>
      </c>
      <c r="I490" t="s">
        <v>732</v>
      </c>
      <c r="J490" t="s">
        <v>23</v>
      </c>
      <c r="K490" t="s">
        <v>18</v>
      </c>
      <c r="L490" t="str">
        <f t="shared" si="7"/>
        <v>High</v>
      </c>
    </row>
    <row r="491" spans="1:12" x14ac:dyDescent="0.3">
      <c r="A491" t="s">
        <v>1767</v>
      </c>
      <c r="B491" t="s">
        <v>1768</v>
      </c>
      <c r="C491" t="s">
        <v>1769</v>
      </c>
      <c r="D491" t="s">
        <v>64</v>
      </c>
      <c r="E491" t="s">
        <v>69</v>
      </c>
      <c r="F491">
        <v>2</v>
      </c>
      <c r="G491" s="1">
        <v>1150666</v>
      </c>
      <c r="H491" s="1">
        <v>2301332</v>
      </c>
      <c r="I491" t="s">
        <v>70</v>
      </c>
      <c r="J491" t="s">
        <v>23</v>
      </c>
      <c r="K491" t="s">
        <v>46</v>
      </c>
      <c r="L491" t="str">
        <f t="shared" si="7"/>
        <v>High</v>
      </c>
    </row>
    <row r="492" spans="1:12" x14ac:dyDescent="0.3">
      <c r="A492" t="s">
        <v>1770</v>
      </c>
      <c r="B492" t="s">
        <v>1771</v>
      </c>
      <c r="C492" t="s">
        <v>1772</v>
      </c>
      <c r="D492" t="s">
        <v>27</v>
      </c>
      <c r="E492" t="s">
        <v>40</v>
      </c>
      <c r="F492">
        <v>5</v>
      </c>
      <c r="G492" s="1">
        <v>1158307</v>
      </c>
      <c r="H492" s="1">
        <v>5791535</v>
      </c>
      <c r="I492" t="s">
        <v>1286</v>
      </c>
      <c r="J492" t="s">
        <v>17</v>
      </c>
      <c r="K492" t="s">
        <v>29</v>
      </c>
      <c r="L492" t="str">
        <f t="shared" si="7"/>
        <v>High</v>
      </c>
    </row>
    <row r="493" spans="1:12" x14ac:dyDescent="0.3">
      <c r="A493" t="s">
        <v>1773</v>
      </c>
      <c r="B493" t="s">
        <v>1774</v>
      </c>
      <c r="C493" t="s">
        <v>1775</v>
      </c>
      <c r="D493" t="s">
        <v>33</v>
      </c>
      <c r="E493" t="s">
        <v>15</v>
      </c>
      <c r="F493">
        <v>4</v>
      </c>
      <c r="G493" s="1">
        <v>770529</v>
      </c>
      <c r="H493" s="1">
        <v>3082116</v>
      </c>
      <c r="I493" t="s">
        <v>1171</v>
      </c>
      <c r="J493" t="s">
        <v>23</v>
      </c>
      <c r="K493" t="s">
        <v>46</v>
      </c>
      <c r="L493" t="str">
        <f t="shared" si="7"/>
        <v>High</v>
      </c>
    </row>
    <row r="494" spans="1:12" x14ac:dyDescent="0.3">
      <c r="A494" t="s">
        <v>1776</v>
      </c>
      <c r="B494" t="s">
        <v>1777</v>
      </c>
      <c r="C494" t="s">
        <v>1778</v>
      </c>
      <c r="D494" t="s">
        <v>33</v>
      </c>
      <c r="E494" t="s">
        <v>55</v>
      </c>
      <c r="F494">
        <v>3</v>
      </c>
      <c r="G494" s="1">
        <v>116498</v>
      </c>
      <c r="H494" s="1">
        <v>349494</v>
      </c>
      <c r="I494" t="s">
        <v>885</v>
      </c>
      <c r="J494" t="s">
        <v>23</v>
      </c>
      <c r="K494" t="s">
        <v>29</v>
      </c>
      <c r="L494" t="str">
        <f t="shared" si="7"/>
        <v>Low</v>
      </c>
    </row>
    <row r="495" spans="1:12" x14ac:dyDescent="0.3">
      <c r="A495" t="s">
        <v>1779</v>
      </c>
      <c r="B495" t="s">
        <v>1780</v>
      </c>
      <c r="C495" t="s">
        <v>1781</v>
      </c>
      <c r="D495" t="s">
        <v>50</v>
      </c>
      <c r="E495" t="s">
        <v>163</v>
      </c>
      <c r="F495">
        <v>4</v>
      </c>
      <c r="G495" s="1">
        <v>861933</v>
      </c>
      <c r="H495" s="1">
        <v>3447732</v>
      </c>
      <c r="I495" t="s">
        <v>1782</v>
      </c>
      <c r="J495" t="s">
        <v>23</v>
      </c>
      <c r="K495" t="s">
        <v>18</v>
      </c>
      <c r="L495" t="str">
        <f t="shared" si="7"/>
        <v>High</v>
      </c>
    </row>
    <row r="496" spans="1:12" x14ac:dyDescent="0.3">
      <c r="A496" t="s">
        <v>1783</v>
      </c>
      <c r="B496" t="s">
        <v>1784</v>
      </c>
      <c r="C496" t="s">
        <v>1785</v>
      </c>
      <c r="D496" t="s">
        <v>64</v>
      </c>
      <c r="E496" t="s">
        <v>40</v>
      </c>
      <c r="F496">
        <v>2</v>
      </c>
      <c r="G496" s="1">
        <v>505842</v>
      </c>
      <c r="H496" s="1">
        <v>1011684</v>
      </c>
      <c r="I496" t="s">
        <v>192</v>
      </c>
      <c r="J496" t="s">
        <v>23</v>
      </c>
      <c r="K496" t="s">
        <v>29</v>
      </c>
      <c r="L496" t="str">
        <f t="shared" si="7"/>
        <v>Medium</v>
      </c>
    </row>
    <row r="497" spans="1:12" x14ac:dyDescent="0.3">
      <c r="A497" t="s">
        <v>1786</v>
      </c>
      <c r="B497" t="s">
        <v>1787</v>
      </c>
      <c r="C497" t="s">
        <v>1788</v>
      </c>
      <c r="D497" t="s">
        <v>33</v>
      </c>
      <c r="E497" t="s">
        <v>69</v>
      </c>
      <c r="F497">
        <v>2</v>
      </c>
      <c r="G497" s="1">
        <v>678013</v>
      </c>
      <c r="H497" s="1">
        <v>1356026</v>
      </c>
      <c r="I497" t="s">
        <v>1789</v>
      </c>
      <c r="J497" t="s">
        <v>17</v>
      </c>
      <c r="K497" t="s">
        <v>18</v>
      </c>
      <c r="L497" t="str">
        <f t="shared" si="7"/>
        <v>Medium</v>
      </c>
    </row>
    <row r="498" spans="1:12" x14ac:dyDescent="0.3">
      <c r="A498" t="s">
        <v>1790</v>
      </c>
      <c r="B498" t="s">
        <v>1791</v>
      </c>
      <c r="C498" t="s">
        <v>1792</v>
      </c>
      <c r="D498" t="s">
        <v>14</v>
      </c>
      <c r="E498" t="s">
        <v>163</v>
      </c>
      <c r="F498">
        <v>2</v>
      </c>
      <c r="G498" s="1">
        <v>565529</v>
      </c>
      <c r="H498" s="1">
        <v>1131058</v>
      </c>
      <c r="I498" t="s">
        <v>91</v>
      </c>
      <c r="J498" t="s">
        <v>17</v>
      </c>
      <c r="K498" t="s">
        <v>29</v>
      </c>
      <c r="L498" t="str">
        <f t="shared" si="7"/>
        <v>Medium</v>
      </c>
    </row>
    <row r="499" spans="1:12" x14ac:dyDescent="0.3">
      <c r="A499" t="s">
        <v>1793</v>
      </c>
      <c r="B499" t="s">
        <v>1794</v>
      </c>
      <c r="C499" t="s">
        <v>1795</v>
      </c>
      <c r="D499" t="s">
        <v>27</v>
      </c>
      <c r="E499" t="s">
        <v>69</v>
      </c>
      <c r="F499">
        <v>1</v>
      </c>
      <c r="G499" s="1">
        <v>1491033</v>
      </c>
      <c r="H499" s="1">
        <v>1491033</v>
      </c>
      <c r="I499" t="s">
        <v>1796</v>
      </c>
      <c r="J499" t="s">
        <v>17</v>
      </c>
      <c r="K499" t="s">
        <v>46</v>
      </c>
      <c r="L499" t="str">
        <f t="shared" si="7"/>
        <v>Medium</v>
      </c>
    </row>
    <row r="500" spans="1:12" x14ac:dyDescent="0.3">
      <c r="A500" t="s">
        <v>1797</v>
      </c>
      <c r="B500" t="s">
        <v>1798</v>
      </c>
      <c r="C500" t="s">
        <v>1799</v>
      </c>
      <c r="D500" t="s">
        <v>33</v>
      </c>
      <c r="E500" t="s">
        <v>163</v>
      </c>
      <c r="F500">
        <v>4</v>
      </c>
      <c r="G500" s="1">
        <v>1043108</v>
      </c>
      <c r="H500" s="1">
        <v>4172432</v>
      </c>
      <c r="I500" t="s">
        <v>973</v>
      </c>
      <c r="J500" t="s">
        <v>23</v>
      </c>
      <c r="K500" t="s">
        <v>46</v>
      </c>
      <c r="L500" t="str">
        <f t="shared" si="7"/>
        <v>High</v>
      </c>
    </row>
    <row r="501" spans="1:12" x14ac:dyDescent="0.3">
      <c r="A501" t="s">
        <v>1800</v>
      </c>
      <c r="B501" t="s">
        <v>1801</v>
      </c>
      <c r="C501" t="s">
        <v>1802</v>
      </c>
      <c r="D501" t="s">
        <v>14</v>
      </c>
      <c r="E501" t="s">
        <v>55</v>
      </c>
      <c r="F501">
        <v>1</v>
      </c>
      <c r="G501" s="1">
        <v>106132</v>
      </c>
      <c r="H501" s="1">
        <v>106132</v>
      </c>
      <c r="I501" t="s">
        <v>1803</v>
      </c>
      <c r="J501" t="s">
        <v>23</v>
      </c>
      <c r="K501" t="s">
        <v>46</v>
      </c>
      <c r="L501" t="str">
        <f t="shared" si="7"/>
        <v>Low</v>
      </c>
    </row>
    <row r="502" spans="1:12" x14ac:dyDescent="0.3">
      <c r="A502" t="s">
        <v>1804</v>
      </c>
      <c r="B502" t="s">
        <v>1805</v>
      </c>
      <c r="C502" t="s">
        <v>1806</v>
      </c>
      <c r="D502" t="s">
        <v>27</v>
      </c>
      <c r="E502" t="s">
        <v>15</v>
      </c>
      <c r="F502">
        <v>2</v>
      </c>
      <c r="G502" s="1">
        <v>534798</v>
      </c>
      <c r="H502" s="1">
        <v>1069596</v>
      </c>
      <c r="I502" t="s">
        <v>1807</v>
      </c>
      <c r="J502" t="s">
        <v>17</v>
      </c>
      <c r="K502" t="s">
        <v>18</v>
      </c>
      <c r="L502" t="str">
        <f t="shared" si="7"/>
        <v>Medium</v>
      </c>
    </row>
    <row r="503" spans="1:12" x14ac:dyDescent="0.3">
      <c r="A503" t="s">
        <v>1808</v>
      </c>
      <c r="B503" t="s">
        <v>1809</v>
      </c>
      <c r="C503" t="s">
        <v>1810</v>
      </c>
      <c r="D503" t="s">
        <v>123</v>
      </c>
      <c r="E503" t="s">
        <v>69</v>
      </c>
      <c r="F503">
        <v>1</v>
      </c>
      <c r="G503" s="1">
        <v>654566</v>
      </c>
      <c r="H503" s="1">
        <v>654566</v>
      </c>
      <c r="I503" t="s">
        <v>1811</v>
      </c>
      <c r="J503" t="s">
        <v>23</v>
      </c>
      <c r="K503" t="s">
        <v>29</v>
      </c>
      <c r="L503" t="str">
        <f t="shared" si="7"/>
        <v>Medium</v>
      </c>
    </row>
    <row r="504" spans="1:12" x14ac:dyDescent="0.3">
      <c r="A504" t="s">
        <v>1812</v>
      </c>
      <c r="B504" t="s">
        <v>1813</v>
      </c>
      <c r="C504" t="s">
        <v>1814</v>
      </c>
      <c r="D504" t="s">
        <v>123</v>
      </c>
      <c r="E504" t="s">
        <v>163</v>
      </c>
      <c r="F504">
        <v>5</v>
      </c>
      <c r="G504" s="1">
        <v>1398154</v>
      </c>
      <c r="H504" s="1">
        <v>6990770</v>
      </c>
      <c r="I504" t="s">
        <v>443</v>
      </c>
      <c r="J504" t="s">
        <v>23</v>
      </c>
      <c r="K504" t="s">
        <v>29</v>
      </c>
      <c r="L504" t="str">
        <f t="shared" si="7"/>
        <v>High</v>
      </c>
    </row>
    <row r="505" spans="1:12" x14ac:dyDescent="0.3">
      <c r="A505" t="s">
        <v>1815</v>
      </c>
      <c r="B505" t="s">
        <v>1816</v>
      </c>
      <c r="C505" t="s">
        <v>1817</v>
      </c>
      <c r="D505" t="s">
        <v>39</v>
      </c>
      <c r="E505" t="s">
        <v>15</v>
      </c>
      <c r="F505">
        <v>5</v>
      </c>
      <c r="G505" s="1">
        <v>172357</v>
      </c>
      <c r="H505" s="1">
        <v>861785</v>
      </c>
      <c r="I505" t="s">
        <v>1342</v>
      </c>
      <c r="J505" t="s">
        <v>23</v>
      </c>
      <c r="K505" t="s">
        <v>18</v>
      </c>
      <c r="L505" t="str">
        <f t="shared" si="7"/>
        <v>Medium</v>
      </c>
    </row>
    <row r="506" spans="1:12" x14ac:dyDescent="0.3">
      <c r="A506" t="s">
        <v>1818</v>
      </c>
      <c r="B506" t="s">
        <v>1819</v>
      </c>
      <c r="C506" t="s">
        <v>1820</v>
      </c>
      <c r="D506" t="s">
        <v>50</v>
      </c>
      <c r="E506" t="s">
        <v>74</v>
      </c>
      <c r="F506">
        <v>2</v>
      </c>
      <c r="G506" s="1">
        <v>518883</v>
      </c>
      <c r="H506" s="1">
        <v>1037766</v>
      </c>
      <c r="I506" t="s">
        <v>280</v>
      </c>
      <c r="J506" t="s">
        <v>23</v>
      </c>
      <c r="K506" t="s">
        <v>18</v>
      </c>
      <c r="L506" t="str">
        <f t="shared" si="7"/>
        <v>Medium</v>
      </c>
    </row>
    <row r="507" spans="1:12" x14ac:dyDescent="0.3">
      <c r="A507" t="s">
        <v>1821</v>
      </c>
      <c r="B507" t="s">
        <v>1822</v>
      </c>
      <c r="C507" t="s">
        <v>1823</v>
      </c>
      <c r="D507" t="s">
        <v>39</v>
      </c>
      <c r="E507" t="s">
        <v>40</v>
      </c>
      <c r="F507">
        <v>3</v>
      </c>
      <c r="G507" s="1">
        <v>724761</v>
      </c>
      <c r="H507" s="1">
        <v>2174283</v>
      </c>
      <c r="I507" t="s">
        <v>1824</v>
      </c>
      <c r="J507" t="s">
        <v>17</v>
      </c>
      <c r="K507" t="s">
        <v>18</v>
      </c>
      <c r="L507" t="str">
        <f t="shared" si="7"/>
        <v>High</v>
      </c>
    </row>
    <row r="508" spans="1:12" x14ac:dyDescent="0.3">
      <c r="A508" t="s">
        <v>1825</v>
      </c>
      <c r="B508" t="s">
        <v>1826</v>
      </c>
      <c r="C508" t="s">
        <v>1827</v>
      </c>
      <c r="D508" t="s">
        <v>14</v>
      </c>
      <c r="E508" t="s">
        <v>69</v>
      </c>
      <c r="F508">
        <v>2</v>
      </c>
      <c r="G508" s="1">
        <v>396327</v>
      </c>
      <c r="H508" s="1">
        <v>792654</v>
      </c>
      <c r="I508" t="s">
        <v>335</v>
      </c>
      <c r="J508" t="s">
        <v>23</v>
      </c>
      <c r="K508" t="s">
        <v>18</v>
      </c>
      <c r="L508" t="str">
        <f t="shared" si="7"/>
        <v>Medium</v>
      </c>
    </row>
    <row r="509" spans="1:12" x14ac:dyDescent="0.3">
      <c r="A509" t="s">
        <v>1828</v>
      </c>
      <c r="B509" t="s">
        <v>1829</v>
      </c>
      <c r="C509" t="s">
        <v>1830</v>
      </c>
      <c r="D509" t="s">
        <v>27</v>
      </c>
      <c r="E509" t="s">
        <v>55</v>
      </c>
      <c r="F509">
        <v>5</v>
      </c>
      <c r="G509" s="1">
        <v>566759</v>
      </c>
      <c r="H509" s="1">
        <v>2833795</v>
      </c>
      <c r="I509" t="s">
        <v>571</v>
      </c>
      <c r="J509" t="s">
        <v>17</v>
      </c>
      <c r="K509" t="s">
        <v>29</v>
      </c>
      <c r="L509" t="str">
        <f t="shared" si="7"/>
        <v>High</v>
      </c>
    </row>
    <row r="510" spans="1:12" x14ac:dyDescent="0.3">
      <c r="A510" t="s">
        <v>1831</v>
      </c>
      <c r="B510" t="s">
        <v>1832</v>
      </c>
      <c r="C510" t="s">
        <v>1833</v>
      </c>
      <c r="D510" t="s">
        <v>50</v>
      </c>
      <c r="E510" t="s">
        <v>34</v>
      </c>
      <c r="F510">
        <v>3</v>
      </c>
      <c r="G510" s="1">
        <v>604042</v>
      </c>
      <c r="H510" s="1">
        <v>1812126</v>
      </c>
      <c r="I510" t="s">
        <v>607</v>
      </c>
      <c r="J510" t="s">
        <v>17</v>
      </c>
      <c r="K510" t="s">
        <v>46</v>
      </c>
      <c r="L510" t="str">
        <f t="shared" si="7"/>
        <v>Medium</v>
      </c>
    </row>
    <row r="511" spans="1:12" x14ac:dyDescent="0.3">
      <c r="A511" t="s">
        <v>1834</v>
      </c>
      <c r="B511" t="s">
        <v>1835</v>
      </c>
      <c r="C511" t="s">
        <v>1836</v>
      </c>
      <c r="D511" t="s">
        <v>14</v>
      </c>
      <c r="E511" t="s">
        <v>15</v>
      </c>
      <c r="F511">
        <v>4</v>
      </c>
      <c r="G511" s="1">
        <v>1014470</v>
      </c>
      <c r="H511" s="1">
        <v>4057880</v>
      </c>
      <c r="I511" t="s">
        <v>588</v>
      </c>
      <c r="J511" t="s">
        <v>23</v>
      </c>
      <c r="K511" t="s">
        <v>46</v>
      </c>
      <c r="L511" t="str">
        <f t="shared" si="7"/>
        <v>High</v>
      </c>
    </row>
    <row r="512" spans="1:12" x14ac:dyDescent="0.3">
      <c r="A512" t="s">
        <v>1837</v>
      </c>
      <c r="B512" t="s">
        <v>1838</v>
      </c>
      <c r="C512" t="s">
        <v>1839</v>
      </c>
      <c r="D512" t="s">
        <v>14</v>
      </c>
      <c r="E512" t="s">
        <v>55</v>
      </c>
      <c r="F512">
        <v>2</v>
      </c>
      <c r="G512" s="1">
        <v>1410586</v>
      </c>
      <c r="H512" s="1">
        <v>2821172</v>
      </c>
      <c r="I512" t="s">
        <v>363</v>
      </c>
      <c r="J512" t="s">
        <v>23</v>
      </c>
      <c r="K512" t="s">
        <v>29</v>
      </c>
      <c r="L512" t="str">
        <f t="shared" si="7"/>
        <v>High</v>
      </c>
    </row>
    <row r="513" spans="1:12" x14ac:dyDescent="0.3">
      <c r="A513" t="s">
        <v>1840</v>
      </c>
      <c r="B513" t="s">
        <v>1841</v>
      </c>
      <c r="C513" t="s">
        <v>1842</v>
      </c>
      <c r="D513" t="s">
        <v>27</v>
      </c>
      <c r="E513" t="s">
        <v>15</v>
      </c>
      <c r="F513">
        <v>3</v>
      </c>
      <c r="G513" s="1">
        <v>455108</v>
      </c>
      <c r="H513" s="1">
        <v>1365324</v>
      </c>
      <c r="I513" t="s">
        <v>986</v>
      </c>
      <c r="J513" t="s">
        <v>23</v>
      </c>
      <c r="K513" t="s">
        <v>46</v>
      </c>
      <c r="L513" t="str">
        <f t="shared" si="7"/>
        <v>Medium</v>
      </c>
    </row>
    <row r="514" spans="1:12" x14ac:dyDescent="0.3">
      <c r="A514" t="s">
        <v>1843</v>
      </c>
      <c r="B514" t="s">
        <v>1844</v>
      </c>
      <c r="C514" t="s">
        <v>1845</v>
      </c>
      <c r="D514" t="s">
        <v>27</v>
      </c>
      <c r="E514" t="s">
        <v>163</v>
      </c>
      <c r="F514">
        <v>2</v>
      </c>
      <c r="G514" s="1">
        <v>191516</v>
      </c>
      <c r="H514" s="1">
        <v>383032</v>
      </c>
      <c r="I514" t="s">
        <v>335</v>
      </c>
      <c r="J514" t="s">
        <v>23</v>
      </c>
      <c r="K514" t="s">
        <v>29</v>
      </c>
      <c r="L514" t="str">
        <f t="shared" si="7"/>
        <v>Low</v>
      </c>
    </row>
    <row r="515" spans="1:12" x14ac:dyDescent="0.3">
      <c r="A515" t="s">
        <v>1846</v>
      </c>
      <c r="B515" t="s">
        <v>1847</v>
      </c>
      <c r="C515" t="s">
        <v>1848</v>
      </c>
      <c r="D515" t="s">
        <v>39</v>
      </c>
      <c r="E515" t="s">
        <v>74</v>
      </c>
      <c r="F515">
        <v>5</v>
      </c>
      <c r="G515" s="1">
        <v>468607</v>
      </c>
      <c r="H515" s="1">
        <v>2343035</v>
      </c>
      <c r="I515" t="s">
        <v>312</v>
      </c>
      <c r="J515" t="s">
        <v>17</v>
      </c>
      <c r="K515" t="s">
        <v>29</v>
      </c>
      <c r="L515" t="str">
        <f t="shared" ref="L515:L551" si="8">IF(H515&gt;2000000,"High",IF(H515&gt;500000,"Medium","Low"))</f>
        <v>High</v>
      </c>
    </row>
    <row r="516" spans="1:12" x14ac:dyDescent="0.3">
      <c r="A516" t="s">
        <v>1849</v>
      </c>
      <c r="B516" t="s">
        <v>1850</v>
      </c>
      <c r="C516" t="s">
        <v>1851</v>
      </c>
      <c r="D516" t="s">
        <v>27</v>
      </c>
      <c r="E516" t="s">
        <v>55</v>
      </c>
      <c r="F516">
        <v>3</v>
      </c>
      <c r="G516" s="1">
        <v>1296068</v>
      </c>
      <c r="H516" s="1">
        <v>3888204</v>
      </c>
      <c r="I516" t="s">
        <v>1852</v>
      </c>
      <c r="J516" t="s">
        <v>23</v>
      </c>
      <c r="K516" t="s">
        <v>29</v>
      </c>
      <c r="L516" t="str">
        <f t="shared" si="8"/>
        <v>High</v>
      </c>
    </row>
    <row r="517" spans="1:12" x14ac:dyDescent="0.3">
      <c r="A517" t="s">
        <v>1853</v>
      </c>
      <c r="B517" t="s">
        <v>1854</v>
      </c>
      <c r="C517" t="s">
        <v>1855</v>
      </c>
      <c r="D517" t="s">
        <v>27</v>
      </c>
      <c r="E517" t="s">
        <v>74</v>
      </c>
      <c r="F517">
        <v>1</v>
      </c>
      <c r="G517" s="1">
        <v>216239</v>
      </c>
      <c r="H517" s="1">
        <v>216239</v>
      </c>
      <c r="I517" t="s">
        <v>520</v>
      </c>
      <c r="J517" t="s">
        <v>23</v>
      </c>
      <c r="K517" t="s">
        <v>18</v>
      </c>
      <c r="L517" t="str">
        <f t="shared" si="8"/>
        <v>Low</v>
      </c>
    </row>
    <row r="518" spans="1:12" x14ac:dyDescent="0.3">
      <c r="A518" t="s">
        <v>1856</v>
      </c>
      <c r="B518" t="s">
        <v>1857</v>
      </c>
      <c r="C518" t="s">
        <v>1858</v>
      </c>
      <c r="D518" t="s">
        <v>14</v>
      </c>
      <c r="E518" t="s">
        <v>74</v>
      </c>
      <c r="F518">
        <v>3</v>
      </c>
      <c r="G518" s="1">
        <v>1309035</v>
      </c>
      <c r="H518" s="1">
        <v>3927105</v>
      </c>
      <c r="I518" t="s">
        <v>713</v>
      </c>
      <c r="J518" t="s">
        <v>23</v>
      </c>
      <c r="K518" t="s">
        <v>46</v>
      </c>
      <c r="L518" t="str">
        <f t="shared" si="8"/>
        <v>High</v>
      </c>
    </row>
    <row r="519" spans="1:12" x14ac:dyDescent="0.3">
      <c r="A519" t="s">
        <v>1859</v>
      </c>
      <c r="B519" t="s">
        <v>1860</v>
      </c>
      <c r="C519" t="s">
        <v>1861</v>
      </c>
      <c r="D519" t="s">
        <v>50</v>
      </c>
      <c r="E519" t="s">
        <v>15</v>
      </c>
      <c r="F519">
        <v>1</v>
      </c>
      <c r="G519" s="1">
        <v>778741</v>
      </c>
      <c r="H519" s="1">
        <v>778741</v>
      </c>
      <c r="I519" t="s">
        <v>1862</v>
      </c>
      <c r="J519" t="s">
        <v>17</v>
      </c>
      <c r="K519" t="s">
        <v>46</v>
      </c>
      <c r="L519" t="str">
        <f t="shared" si="8"/>
        <v>Medium</v>
      </c>
    </row>
    <row r="520" spans="1:12" x14ac:dyDescent="0.3">
      <c r="A520" t="s">
        <v>1863</v>
      </c>
      <c r="B520" t="s">
        <v>1864</v>
      </c>
      <c r="C520" t="s">
        <v>1865</v>
      </c>
      <c r="D520" t="s">
        <v>27</v>
      </c>
      <c r="E520" t="s">
        <v>55</v>
      </c>
      <c r="F520">
        <v>1</v>
      </c>
      <c r="G520" s="1">
        <v>1090633</v>
      </c>
      <c r="H520" s="1">
        <v>1090633</v>
      </c>
      <c r="I520" t="s">
        <v>1624</v>
      </c>
      <c r="J520" t="s">
        <v>17</v>
      </c>
      <c r="K520" t="s">
        <v>46</v>
      </c>
      <c r="L520" t="str">
        <f t="shared" si="8"/>
        <v>Medium</v>
      </c>
    </row>
    <row r="521" spans="1:12" x14ac:dyDescent="0.3">
      <c r="A521" t="s">
        <v>1866</v>
      </c>
      <c r="B521" t="s">
        <v>1867</v>
      </c>
      <c r="C521" t="s">
        <v>1868</v>
      </c>
      <c r="D521" t="s">
        <v>64</v>
      </c>
      <c r="E521" t="s">
        <v>55</v>
      </c>
      <c r="F521">
        <v>2</v>
      </c>
      <c r="G521" s="1">
        <v>177766</v>
      </c>
      <c r="H521" s="1">
        <v>355532</v>
      </c>
      <c r="I521" t="s">
        <v>331</v>
      </c>
      <c r="J521" t="s">
        <v>17</v>
      </c>
      <c r="K521" t="s">
        <v>46</v>
      </c>
      <c r="L521" t="str">
        <f t="shared" si="8"/>
        <v>Low</v>
      </c>
    </row>
    <row r="522" spans="1:12" x14ac:dyDescent="0.3">
      <c r="A522" t="s">
        <v>1869</v>
      </c>
      <c r="B522" t="s">
        <v>1870</v>
      </c>
      <c r="C522" t="s">
        <v>1871</v>
      </c>
      <c r="D522" t="s">
        <v>123</v>
      </c>
      <c r="E522" t="s">
        <v>163</v>
      </c>
      <c r="F522">
        <v>3</v>
      </c>
      <c r="G522" s="1">
        <v>57165</v>
      </c>
      <c r="H522" s="1">
        <v>171495</v>
      </c>
      <c r="I522" t="s">
        <v>986</v>
      </c>
      <c r="J522" t="s">
        <v>17</v>
      </c>
      <c r="K522" t="s">
        <v>46</v>
      </c>
      <c r="L522" t="str">
        <f t="shared" si="8"/>
        <v>Low</v>
      </c>
    </row>
    <row r="523" spans="1:12" x14ac:dyDescent="0.3">
      <c r="A523" t="s">
        <v>1872</v>
      </c>
      <c r="B523" t="s">
        <v>1873</v>
      </c>
      <c r="C523" t="s">
        <v>1874</v>
      </c>
      <c r="D523" t="s">
        <v>50</v>
      </c>
      <c r="E523" t="s">
        <v>40</v>
      </c>
      <c r="F523">
        <v>1</v>
      </c>
      <c r="G523" s="1">
        <v>239989</v>
      </c>
      <c r="H523" s="1">
        <v>239989</v>
      </c>
      <c r="I523" t="s">
        <v>858</v>
      </c>
      <c r="J523" t="s">
        <v>17</v>
      </c>
      <c r="K523" t="s">
        <v>29</v>
      </c>
      <c r="L523" t="str">
        <f t="shared" si="8"/>
        <v>Low</v>
      </c>
    </row>
    <row r="524" spans="1:12" x14ac:dyDescent="0.3">
      <c r="A524" t="s">
        <v>1875</v>
      </c>
      <c r="B524" t="s">
        <v>1876</v>
      </c>
      <c r="C524" t="s">
        <v>1877</v>
      </c>
      <c r="D524" t="s">
        <v>39</v>
      </c>
      <c r="E524" t="s">
        <v>55</v>
      </c>
      <c r="F524">
        <v>3</v>
      </c>
      <c r="G524" s="1">
        <v>599938</v>
      </c>
      <c r="H524" s="1">
        <v>1799814</v>
      </c>
      <c r="I524" t="s">
        <v>1796</v>
      </c>
      <c r="J524" t="s">
        <v>23</v>
      </c>
      <c r="K524" t="s">
        <v>29</v>
      </c>
      <c r="L524" t="str">
        <f t="shared" si="8"/>
        <v>Medium</v>
      </c>
    </row>
    <row r="525" spans="1:12" x14ac:dyDescent="0.3">
      <c r="A525" t="s">
        <v>1878</v>
      </c>
      <c r="B525" t="s">
        <v>1879</v>
      </c>
      <c r="C525" t="s">
        <v>1880</v>
      </c>
      <c r="D525" t="s">
        <v>64</v>
      </c>
      <c r="E525" t="s">
        <v>34</v>
      </c>
      <c r="F525">
        <v>1</v>
      </c>
      <c r="G525" s="1">
        <v>1028722</v>
      </c>
      <c r="H525" s="1">
        <v>1028722</v>
      </c>
      <c r="I525" t="s">
        <v>1881</v>
      </c>
      <c r="J525" t="s">
        <v>17</v>
      </c>
      <c r="K525" t="s">
        <v>46</v>
      </c>
      <c r="L525" t="str">
        <f t="shared" si="8"/>
        <v>Medium</v>
      </c>
    </row>
    <row r="526" spans="1:12" x14ac:dyDescent="0.3">
      <c r="A526" t="s">
        <v>1882</v>
      </c>
      <c r="B526" t="s">
        <v>1883</v>
      </c>
      <c r="C526" t="s">
        <v>1884</v>
      </c>
      <c r="D526" t="s">
        <v>50</v>
      </c>
      <c r="E526" t="s">
        <v>69</v>
      </c>
      <c r="F526">
        <v>4</v>
      </c>
      <c r="G526" s="1">
        <v>365816</v>
      </c>
      <c r="H526" s="1">
        <v>1463264</v>
      </c>
      <c r="I526" t="s">
        <v>1885</v>
      </c>
      <c r="J526" t="s">
        <v>23</v>
      </c>
      <c r="K526" t="s">
        <v>18</v>
      </c>
      <c r="L526" t="str">
        <f t="shared" si="8"/>
        <v>Medium</v>
      </c>
    </row>
    <row r="527" spans="1:12" x14ac:dyDescent="0.3">
      <c r="A527" t="s">
        <v>1886</v>
      </c>
      <c r="B527" t="s">
        <v>1887</v>
      </c>
      <c r="C527" t="s">
        <v>1888</v>
      </c>
      <c r="D527" t="s">
        <v>39</v>
      </c>
      <c r="E527" t="s">
        <v>69</v>
      </c>
      <c r="F527">
        <v>4</v>
      </c>
      <c r="G527" s="1">
        <v>402770</v>
      </c>
      <c r="H527" s="1">
        <v>1611080</v>
      </c>
      <c r="I527" t="s">
        <v>1889</v>
      </c>
      <c r="J527" t="s">
        <v>17</v>
      </c>
      <c r="K527" t="s">
        <v>29</v>
      </c>
      <c r="L527" t="str">
        <f t="shared" si="8"/>
        <v>Medium</v>
      </c>
    </row>
    <row r="528" spans="1:12" x14ac:dyDescent="0.3">
      <c r="A528" t="s">
        <v>1890</v>
      </c>
      <c r="B528" t="s">
        <v>1891</v>
      </c>
      <c r="C528" t="s">
        <v>1892</v>
      </c>
      <c r="D528" t="s">
        <v>14</v>
      </c>
      <c r="E528" t="s">
        <v>74</v>
      </c>
      <c r="F528">
        <v>1</v>
      </c>
      <c r="G528" s="1">
        <v>204730</v>
      </c>
      <c r="H528" s="1">
        <v>204730</v>
      </c>
      <c r="I528" t="s">
        <v>986</v>
      </c>
      <c r="J528" t="s">
        <v>23</v>
      </c>
      <c r="K528" t="s">
        <v>46</v>
      </c>
      <c r="L528" t="str">
        <f t="shared" si="8"/>
        <v>Low</v>
      </c>
    </row>
    <row r="529" spans="1:12" x14ac:dyDescent="0.3">
      <c r="A529" t="s">
        <v>1893</v>
      </c>
      <c r="B529" t="s">
        <v>1894</v>
      </c>
      <c r="C529" t="s">
        <v>1895</v>
      </c>
      <c r="D529" t="s">
        <v>14</v>
      </c>
      <c r="E529" t="s">
        <v>40</v>
      </c>
      <c r="F529">
        <v>2</v>
      </c>
      <c r="G529" s="1">
        <v>1264125</v>
      </c>
      <c r="H529" s="1">
        <v>2528250</v>
      </c>
      <c r="I529" t="s">
        <v>1371</v>
      </c>
      <c r="J529" t="s">
        <v>23</v>
      </c>
      <c r="K529" t="s">
        <v>18</v>
      </c>
      <c r="L529" t="str">
        <f t="shared" si="8"/>
        <v>High</v>
      </c>
    </row>
    <row r="530" spans="1:12" x14ac:dyDescent="0.3">
      <c r="A530" t="s">
        <v>1896</v>
      </c>
      <c r="B530" t="s">
        <v>1897</v>
      </c>
      <c r="C530" t="s">
        <v>1898</v>
      </c>
      <c r="D530" t="s">
        <v>123</v>
      </c>
      <c r="E530" t="s">
        <v>40</v>
      </c>
      <c r="F530">
        <v>2</v>
      </c>
      <c r="G530" s="1">
        <v>405659</v>
      </c>
      <c r="H530" s="1">
        <v>811318</v>
      </c>
      <c r="I530" t="s">
        <v>843</v>
      </c>
      <c r="J530" t="s">
        <v>17</v>
      </c>
      <c r="K530" t="s">
        <v>18</v>
      </c>
      <c r="L530" t="str">
        <f t="shared" si="8"/>
        <v>Medium</v>
      </c>
    </row>
    <row r="531" spans="1:12" x14ac:dyDescent="0.3">
      <c r="A531" t="s">
        <v>1899</v>
      </c>
      <c r="B531" t="s">
        <v>1900</v>
      </c>
      <c r="C531" t="s">
        <v>1901</v>
      </c>
      <c r="D531" t="s">
        <v>14</v>
      </c>
      <c r="E531" t="s">
        <v>55</v>
      </c>
      <c r="F531">
        <v>1</v>
      </c>
      <c r="G531" s="1">
        <v>456454</v>
      </c>
      <c r="H531" s="1">
        <v>456454</v>
      </c>
      <c r="I531" t="s">
        <v>284</v>
      </c>
      <c r="J531" t="s">
        <v>23</v>
      </c>
      <c r="K531" t="s">
        <v>18</v>
      </c>
      <c r="L531" t="str">
        <f t="shared" si="8"/>
        <v>Low</v>
      </c>
    </row>
    <row r="532" spans="1:12" x14ac:dyDescent="0.3">
      <c r="A532" t="s">
        <v>1902</v>
      </c>
      <c r="B532" t="s">
        <v>1903</v>
      </c>
      <c r="C532" t="s">
        <v>1904</v>
      </c>
      <c r="D532" t="s">
        <v>50</v>
      </c>
      <c r="E532" t="s">
        <v>15</v>
      </c>
      <c r="F532">
        <v>2</v>
      </c>
      <c r="G532" s="1">
        <v>252679</v>
      </c>
      <c r="H532" s="1">
        <v>505358</v>
      </c>
      <c r="I532" t="s">
        <v>875</v>
      </c>
      <c r="J532" t="s">
        <v>23</v>
      </c>
      <c r="K532" t="s">
        <v>46</v>
      </c>
      <c r="L532" t="str">
        <f t="shared" si="8"/>
        <v>Medium</v>
      </c>
    </row>
    <row r="533" spans="1:12" x14ac:dyDescent="0.3">
      <c r="A533" t="s">
        <v>1905</v>
      </c>
      <c r="B533" t="s">
        <v>1906</v>
      </c>
      <c r="C533" t="s">
        <v>1907</v>
      </c>
      <c r="D533" t="s">
        <v>14</v>
      </c>
      <c r="E533" t="s">
        <v>163</v>
      </c>
      <c r="F533">
        <v>1</v>
      </c>
      <c r="G533" s="1">
        <v>668545</v>
      </c>
      <c r="H533" s="1">
        <v>668545</v>
      </c>
      <c r="I533" t="s">
        <v>292</v>
      </c>
      <c r="J533" t="s">
        <v>23</v>
      </c>
      <c r="K533" t="s">
        <v>46</v>
      </c>
      <c r="L533" t="str">
        <f t="shared" si="8"/>
        <v>Medium</v>
      </c>
    </row>
    <row r="534" spans="1:12" x14ac:dyDescent="0.3">
      <c r="A534" t="s">
        <v>1908</v>
      </c>
      <c r="B534" t="s">
        <v>1909</v>
      </c>
      <c r="C534" t="s">
        <v>1910</v>
      </c>
      <c r="D534" t="s">
        <v>39</v>
      </c>
      <c r="E534" t="s">
        <v>74</v>
      </c>
      <c r="F534">
        <v>2</v>
      </c>
      <c r="G534" s="1">
        <v>1406419</v>
      </c>
      <c r="H534" s="1">
        <v>2812838</v>
      </c>
      <c r="I534" t="s">
        <v>581</v>
      </c>
      <c r="J534" t="s">
        <v>17</v>
      </c>
      <c r="K534" t="s">
        <v>18</v>
      </c>
      <c r="L534" t="str">
        <f t="shared" si="8"/>
        <v>High</v>
      </c>
    </row>
    <row r="535" spans="1:12" x14ac:dyDescent="0.3">
      <c r="A535" t="s">
        <v>1911</v>
      </c>
      <c r="B535" t="s">
        <v>1912</v>
      </c>
      <c r="C535" t="s">
        <v>1913</v>
      </c>
      <c r="D535" t="s">
        <v>33</v>
      </c>
      <c r="E535" t="s">
        <v>34</v>
      </c>
      <c r="F535">
        <v>2</v>
      </c>
      <c r="G535" s="1">
        <v>777066</v>
      </c>
      <c r="H535" s="1">
        <v>1554132</v>
      </c>
      <c r="I535" t="s">
        <v>1084</v>
      </c>
      <c r="J535" t="s">
        <v>17</v>
      </c>
      <c r="K535" t="s">
        <v>29</v>
      </c>
      <c r="L535" t="str">
        <f t="shared" si="8"/>
        <v>Medium</v>
      </c>
    </row>
    <row r="536" spans="1:12" x14ac:dyDescent="0.3">
      <c r="A536" t="s">
        <v>1914</v>
      </c>
      <c r="B536" t="s">
        <v>1915</v>
      </c>
      <c r="C536" t="s">
        <v>1916</v>
      </c>
      <c r="D536" t="s">
        <v>39</v>
      </c>
      <c r="E536" t="s">
        <v>163</v>
      </c>
      <c r="F536">
        <v>5</v>
      </c>
      <c r="G536" s="1">
        <v>1258408</v>
      </c>
      <c r="H536" s="1">
        <v>6292040</v>
      </c>
      <c r="I536" t="s">
        <v>398</v>
      </c>
      <c r="J536" t="s">
        <v>23</v>
      </c>
      <c r="K536" t="s">
        <v>29</v>
      </c>
      <c r="L536" t="str">
        <f t="shared" si="8"/>
        <v>High</v>
      </c>
    </row>
    <row r="537" spans="1:12" x14ac:dyDescent="0.3">
      <c r="A537" t="s">
        <v>1917</v>
      </c>
      <c r="B537" t="s">
        <v>1918</v>
      </c>
      <c r="C537" t="s">
        <v>1919</v>
      </c>
      <c r="D537" t="s">
        <v>14</v>
      </c>
      <c r="E537" t="s">
        <v>40</v>
      </c>
      <c r="F537">
        <v>1</v>
      </c>
      <c r="G537" s="1">
        <v>356959</v>
      </c>
      <c r="H537" s="1">
        <v>356959</v>
      </c>
      <c r="I537" t="s">
        <v>79</v>
      </c>
      <c r="J537" t="s">
        <v>17</v>
      </c>
      <c r="K537" t="s">
        <v>18</v>
      </c>
      <c r="L537" t="str">
        <f t="shared" si="8"/>
        <v>Low</v>
      </c>
    </row>
    <row r="538" spans="1:12" x14ac:dyDescent="0.3">
      <c r="A538" t="s">
        <v>1920</v>
      </c>
      <c r="B538" t="s">
        <v>1921</v>
      </c>
      <c r="C538" t="s">
        <v>1922</v>
      </c>
      <c r="D538" t="s">
        <v>27</v>
      </c>
      <c r="E538" t="s">
        <v>69</v>
      </c>
      <c r="F538">
        <v>5</v>
      </c>
      <c r="G538" s="1">
        <v>1352623</v>
      </c>
      <c r="H538" s="1">
        <v>6763115</v>
      </c>
      <c r="I538" t="s">
        <v>725</v>
      </c>
      <c r="J538" t="s">
        <v>23</v>
      </c>
      <c r="K538" t="s">
        <v>46</v>
      </c>
      <c r="L538" t="str">
        <f t="shared" si="8"/>
        <v>High</v>
      </c>
    </row>
    <row r="539" spans="1:12" x14ac:dyDescent="0.3">
      <c r="A539" t="s">
        <v>1923</v>
      </c>
      <c r="B539" t="s">
        <v>1924</v>
      </c>
      <c r="C539" t="s">
        <v>1925</v>
      </c>
      <c r="D539" t="s">
        <v>27</v>
      </c>
      <c r="E539" t="s">
        <v>69</v>
      </c>
      <c r="F539">
        <v>3</v>
      </c>
      <c r="G539" s="1">
        <v>950608</v>
      </c>
      <c r="H539" s="1">
        <v>2851824</v>
      </c>
      <c r="I539" t="s">
        <v>300</v>
      </c>
      <c r="J539" t="s">
        <v>23</v>
      </c>
      <c r="K539" t="s">
        <v>29</v>
      </c>
      <c r="L539" t="str">
        <f t="shared" si="8"/>
        <v>High</v>
      </c>
    </row>
    <row r="540" spans="1:12" x14ac:dyDescent="0.3">
      <c r="A540" t="s">
        <v>1926</v>
      </c>
      <c r="B540" t="s">
        <v>1927</v>
      </c>
      <c r="C540" t="s">
        <v>1928</v>
      </c>
      <c r="D540" t="s">
        <v>123</v>
      </c>
      <c r="E540" t="s">
        <v>15</v>
      </c>
      <c r="F540">
        <v>5</v>
      </c>
      <c r="G540" s="1">
        <v>584008</v>
      </c>
      <c r="H540" s="1">
        <v>2920040</v>
      </c>
      <c r="I540" t="s">
        <v>1929</v>
      </c>
      <c r="J540" t="s">
        <v>23</v>
      </c>
      <c r="K540" t="s">
        <v>29</v>
      </c>
      <c r="L540" t="str">
        <f t="shared" si="8"/>
        <v>High</v>
      </c>
    </row>
    <row r="541" spans="1:12" x14ac:dyDescent="0.3">
      <c r="A541" t="s">
        <v>1930</v>
      </c>
      <c r="B541" t="s">
        <v>1931</v>
      </c>
      <c r="C541" t="s">
        <v>1932</v>
      </c>
      <c r="D541" t="s">
        <v>64</v>
      </c>
      <c r="E541" t="s">
        <v>55</v>
      </c>
      <c r="F541">
        <v>2</v>
      </c>
      <c r="G541" s="1">
        <v>963332</v>
      </c>
      <c r="H541" s="1">
        <v>1926664</v>
      </c>
      <c r="I541" t="s">
        <v>899</v>
      </c>
      <c r="J541" t="s">
        <v>23</v>
      </c>
      <c r="K541" t="s">
        <v>46</v>
      </c>
      <c r="L541" t="str">
        <f t="shared" si="8"/>
        <v>Medium</v>
      </c>
    </row>
    <row r="542" spans="1:12" x14ac:dyDescent="0.3">
      <c r="A542" t="s">
        <v>1933</v>
      </c>
      <c r="B542" t="s">
        <v>1934</v>
      </c>
      <c r="C542" t="s">
        <v>1935</v>
      </c>
      <c r="D542" t="s">
        <v>14</v>
      </c>
      <c r="E542" t="s">
        <v>55</v>
      </c>
      <c r="F542">
        <v>5</v>
      </c>
      <c r="G542" s="1">
        <v>1340602</v>
      </c>
      <c r="H542" s="1">
        <v>6703010</v>
      </c>
      <c r="I542" t="s">
        <v>1936</v>
      </c>
      <c r="J542" t="s">
        <v>17</v>
      </c>
      <c r="K542" t="s">
        <v>29</v>
      </c>
      <c r="L542" t="str">
        <f t="shared" si="8"/>
        <v>High</v>
      </c>
    </row>
    <row r="543" spans="1:12" x14ac:dyDescent="0.3">
      <c r="A543" t="s">
        <v>1937</v>
      </c>
      <c r="B543" t="s">
        <v>1938</v>
      </c>
      <c r="C543" t="s">
        <v>1939</v>
      </c>
      <c r="D543" t="s">
        <v>27</v>
      </c>
      <c r="E543" t="s">
        <v>55</v>
      </c>
      <c r="F543">
        <v>1</v>
      </c>
      <c r="G543" s="1">
        <v>529490</v>
      </c>
      <c r="H543" s="1">
        <v>529490</v>
      </c>
      <c r="I543" t="s">
        <v>224</v>
      </c>
      <c r="J543" t="s">
        <v>23</v>
      </c>
      <c r="K543" t="s">
        <v>29</v>
      </c>
      <c r="L543" t="str">
        <f t="shared" si="8"/>
        <v>Medium</v>
      </c>
    </row>
    <row r="544" spans="1:12" x14ac:dyDescent="0.3">
      <c r="A544" t="s">
        <v>1940</v>
      </c>
      <c r="B544" t="s">
        <v>1941</v>
      </c>
      <c r="C544" t="s">
        <v>1942</v>
      </c>
      <c r="D544" t="s">
        <v>27</v>
      </c>
      <c r="E544" t="s">
        <v>40</v>
      </c>
      <c r="F544">
        <v>5</v>
      </c>
      <c r="G544" s="1">
        <v>1143045</v>
      </c>
      <c r="H544" s="1">
        <v>5715225</v>
      </c>
      <c r="I544" t="s">
        <v>256</v>
      </c>
      <c r="J544" t="s">
        <v>17</v>
      </c>
      <c r="K544" t="s">
        <v>46</v>
      </c>
      <c r="L544" t="str">
        <f t="shared" si="8"/>
        <v>High</v>
      </c>
    </row>
    <row r="545" spans="1:12" x14ac:dyDescent="0.3">
      <c r="A545" t="s">
        <v>1943</v>
      </c>
      <c r="B545" t="s">
        <v>1944</v>
      </c>
      <c r="C545" t="s">
        <v>1945</v>
      </c>
      <c r="D545" t="s">
        <v>39</v>
      </c>
      <c r="E545" t="s">
        <v>163</v>
      </c>
      <c r="F545">
        <v>5</v>
      </c>
      <c r="G545" s="1">
        <v>1304753</v>
      </c>
      <c r="H545" s="1">
        <v>6523765</v>
      </c>
      <c r="I545" t="s">
        <v>938</v>
      </c>
      <c r="J545" t="s">
        <v>23</v>
      </c>
      <c r="K545" t="s">
        <v>29</v>
      </c>
      <c r="L545" t="str">
        <f t="shared" si="8"/>
        <v>High</v>
      </c>
    </row>
    <row r="546" spans="1:12" x14ac:dyDescent="0.3">
      <c r="A546" t="s">
        <v>1946</v>
      </c>
      <c r="B546" t="s">
        <v>1947</v>
      </c>
      <c r="C546" t="s">
        <v>1948</v>
      </c>
      <c r="D546" t="s">
        <v>14</v>
      </c>
      <c r="E546" t="s">
        <v>34</v>
      </c>
      <c r="F546">
        <v>5</v>
      </c>
      <c r="G546" s="1">
        <v>112061</v>
      </c>
      <c r="H546" s="1">
        <v>560305</v>
      </c>
      <c r="I546" t="s">
        <v>1000</v>
      </c>
      <c r="J546" t="s">
        <v>23</v>
      </c>
      <c r="K546" t="s">
        <v>18</v>
      </c>
      <c r="L546" t="str">
        <f t="shared" si="8"/>
        <v>Medium</v>
      </c>
    </row>
    <row r="547" spans="1:12" x14ac:dyDescent="0.3">
      <c r="A547" t="s">
        <v>1949</v>
      </c>
      <c r="B547" t="s">
        <v>1950</v>
      </c>
      <c r="C547" t="s">
        <v>1951</v>
      </c>
      <c r="D547" t="s">
        <v>123</v>
      </c>
      <c r="E547" t="s">
        <v>69</v>
      </c>
      <c r="F547">
        <v>5</v>
      </c>
      <c r="G547" s="1">
        <v>265871</v>
      </c>
      <c r="H547" s="1">
        <v>1329355</v>
      </c>
      <c r="I547" t="s">
        <v>833</v>
      </c>
      <c r="J547" t="s">
        <v>17</v>
      </c>
      <c r="K547" t="s">
        <v>29</v>
      </c>
      <c r="L547" t="str">
        <f t="shared" si="8"/>
        <v>Medium</v>
      </c>
    </row>
    <row r="548" spans="1:12" x14ac:dyDescent="0.3">
      <c r="A548" t="s">
        <v>1952</v>
      </c>
      <c r="B548" t="s">
        <v>1953</v>
      </c>
      <c r="C548" t="s">
        <v>1954</v>
      </c>
      <c r="D548" t="s">
        <v>50</v>
      </c>
      <c r="E548" t="s">
        <v>69</v>
      </c>
      <c r="F548">
        <v>2</v>
      </c>
      <c r="G548" s="1">
        <v>352697</v>
      </c>
      <c r="H548" s="1">
        <v>705394</v>
      </c>
      <c r="I548" t="s">
        <v>802</v>
      </c>
      <c r="J548" t="s">
        <v>23</v>
      </c>
      <c r="K548" t="s">
        <v>46</v>
      </c>
      <c r="L548" t="str">
        <f t="shared" si="8"/>
        <v>Medium</v>
      </c>
    </row>
    <row r="549" spans="1:12" x14ac:dyDescent="0.3">
      <c r="A549" t="s">
        <v>1955</v>
      </c>
      <c r="B549" t="s">
        <v>1956</v>
      </c>
      <c r="C549" t="s">
        <v>1957</v>
      </c>
      <c r="D549" t="s">
        <v>14</v>
      </c>
      <c r="E549" t="s">
        <v>55</v>
      </c>
      <c r="F549">
        <v>2</v>
      </c>
      <c r="G549" s="1">
        <v>355419</v>
      </c>
      <c r="H549" s="1">
        <v>710838</v>
      </c>
      <c r="I549" t="s">
        <v>1958</v>
      </c>
      <c r="J549" t="s">
        <v>17</v>
      </c>
      <c r="K549" t="s">
        <v>18</v>
      </c>
      <c r="L549" t="str">
        <f t="shared" si="8"/>
        <v>Medium</v>
      </c>
    </row>
    <row r="550" spans="1:12" x14ac:dyDescent="0.3">
      <c r="A550" t="s">
        <v>1959</v>
      </c>
      <c r="B550" t="s">
        <v>1960</v>
      </c>
      <c r="C550" t="s">
        <v>1961</v>
      </c>
      <c r="D550" t="s">
        <v>50</v>
      </c>
      <c r="E550" t="s">
        <v>15</v>
      </c>
      <c r="F550">
        <v>1</v>
      </c>
      <c r="G550" s="1">
        <v>1299635</v>
      </c>
      <c r="H550" s="1">
        <v>1299635</v>
      </c>
      <c r="I550" t="s">
        <v>794</v>
      </c>
      <c r="J550" t="s">
        <v>23</v>
      </c>
      <c r="K550" t="s">
        <v>46</v>
      </c>
      <c r="L550" t="str">
        <f t="shared" si="8"/>
        <v>Medium</v>
      </c>
    </row>
    <row r="551" spans="1:12" x14ac:dyDescent="0.3">
      <c r="A551" t="s">
        <v>1962</v>
      </c>
      <c r="B551" t="s">
        <v>1963</v>
      </c>
      <c r="C551" t="s">
        <v>1964</v>
      </c>
      <c r="D551" t="s">
        <v>64</v>
      </c>
      <c r="E551" t="s">
        <v>55</v>
      </c>
      <c r="F551">
        <v>2</v>
      </c>
      <c r="G551" s="1">
        <v>199160</v>
      </c>
      <c r="H551" s="1">
        <v>398320</v>
      </c>
      <c r="I551" t="s">
        <v>1965</v>
      </c>
      <c r="J551" t="s">
        <v>23</v>
      </c>
      <c r="K551" t="s">
        <v>29</v>
      </c>
      <c r="L551" t="str">
        <f t="shared" si="8"/>
        <v>Low</v>
      </c>
    </row>
  </sheetData>
  <conditionalFormatting sqref="A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FABD-CC8C-492F-AF71-F9F2098CB6E8}">
  <dimension ref="A1:B9"/>
  <sheetViews>
    <sheetView tabSelected="1" workbookViewId="0">
      <selection activeCell="C14" sqref="C14"/>
    </sheetView>
  </sheetViews>
  <sheetFormatPr defaultRowHeight="14.4" x14ac:dyDescent="0.3"/>
  <cols>
    <col min="1" max="1" width="12.5546875" bestFit="1" customWidth="1"/>
    <col min="2" max="3" width="17.6640625" bestFit="1" customWidth="1"/>
  </cols>
  <sheetData>
    <row r="1" spans="1:2" x14ac:dyDescent="0.3">
      <c r="A1" s="4" t="s">
        <v>1971</v>
      </c>
      <c r="B1" t="s">
        <v>1973</v>
      </c>
    </row>
    <row r="2" spans="1:2" x14ac:dyDescent="0.3">
      <c r="A2" s="2" t="s">
        <v>39</v>
      </c>
      <c r="B2" s="5">
        <v>178619643</v>
      </c>
    </row>
    <row r="3" spans="1:2" x14ac:dyDescent="0.3">
      <c r="A3" s="2" t="s">
        <v>27</v>
      </c>
      <c r="B3" s="5">
        <v>221193331</v>
      </c>
    </row>
    <row r="4" spans="1:2" x14ac:dyDescent="0.3">
      <c r="A4" s="2" t="s">
        <v>123</v>
      </c>
      <c r="B4" s="5">
        <v>176217437</v>
      </c>
    </row>
    <row r="5" spans="1:2" x14ac:dyDescent="0.3">
      <c r="A5" s="2" t="s">
        <v>14</v>
      </c>
      <c r="B5" s="5">
        <v>155449004</v>
      </c>
    </row>
    <row r="6" spans="1:2" x14ac:dyDescent="0.3">
      <c r="A6" s="2" t="s">
        <v>33</v>
      </c>
      <c r="B6" s="5">
        <v>181817666</v>
      </c>
    </row>
    <row r="7" spans="1:2" x14ac:dyDescent="0.3">
      <c r="A7" s="2" t="s">
        <v>50</v>
      </c>
      <c r="B7" s="5">
        <v>199748057</v>
      </c>
    </row>
    <row r="8" spans="1:2" x14ac:dyDescent="0.3">
      <c r="A8" s="2" t="s">
        <v>64</v>
      </c>
      <c r="B8" s="5">
        <v>142884126</v>
      </c>
    </row>
    <row r="9" spans="1:2" x14ac:dyDescent="0.3">
      <c r="A9" s="2" t="s">
        <v>1972</v>
      </c>
      <c r="B9" s="5">
        <v>1255929264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4816-7356-4D84-B5AE-ACD01495CBC4}">
  <dimension ref="A1:B4"/>
  <sheetViews>
    <sheetView workbookViewId="0">
      <selection activeCell="B4" sqref="B4"/>
    </sheetView>
  </sheetViews>
  <sheetFormatPr defaultRowHeight="14.4" x14ac:dyDescent="0.3"/>
  <cols>
    <col min="1" max="1" width="12.44140625" customWidth="1"/>
    <col min="2" max="2" width="18.77734375" customWidth="1"/>
  </cols>
  <sheetData>
    <row r="1" spans="1:2" x14ac:dyDescent="0.3">
      <c r="A1" s="2" t="s">
        <v>1967</v>
      </c>
      <c r="B1" s="3">
        <f>SUM('Raw Orders'!H1:H551)</f>
        <v>1255929264</v>
      </c>
    </row>
    <row r="2" spans="1:2" x14ac:dyDescent="0.3">
      <c r="A2" s="2" t="s">
        <v>1968</v>
      </c>
      <c r="B2" s="2">
        <f>COUNTA(Table2[Order ID])</f>
        <v>550</v>
      </c>
    </row>
    <row r="3" spans="1:2" x14ac:dyDescent="0.3">
      <c r="A3" s="2" t="s">
        <v>1969</v>
      </c>
      <c r="B3" s="2" t="s">
        <v>163</v>
      </c>
    </row>
    <row r="4" spans="1:2" x14ac:dyDescent="0.3">
      <c r="A4" s="2" t="s">
        <v>1970</v>
      </c>
      <c r="B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Orders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2026-05-17T02:52:30Z</dcterms:created>
  <dcterms:modified xsi:type="dcterms:W3CDTF">2026-05-17T03:40:47Z</dcterms:modified>
</cp:coreProperties>
</file>